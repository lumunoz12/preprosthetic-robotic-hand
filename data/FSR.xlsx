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ta" sheetId="1" state="visible" r:id="rId3"/>
    <sheet name="Fit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<sst xmlns="http://schemas.openxmlformats.org/spreadsheetml/2006/main" count="17" uniqueCount="16">
  <si>
    <t xml:space="preserve">Resistance</t>
  </si>
  <si>
    <t xml:space="preserve">10k</t>
  </si>
  <si>
    <t xml:space="preserve">1k</t>
  </si>
  <si>
    <t xml:space="preserve">Mass (g)</t>
  </si>
  <si>
    <t xml:space="preserve">Force (N)</t>
  </si>
  <si>
    <t xml:space="preserve">Analog value</t>
  </si>
  <si>
    <t xml:space="preserve">Linear fit F = a·N_ADC + b, 1 kΩ divider resistor (paper Eq. 3). Data from sheet "Data".</t>
  </si>
  <si>
    <t xml:space="preserve">Parameter</t>
  </si>
  <si>
    <t xml:space="preserve">Value</t>
  </si>
  <si>
    <t xml:space="preserve">Unit</t>
  </si>
  <si>
    <t xml:space="preserve">a (slope)</t>
  </si>
  <si>
    <t xml:space="preserve">N/count</t>
  </si>
  <si>
    <t xml:space="preserve">b (intercept)</t>
  </si>
  <si>
    <t xml:space="preserve">N</t>
  </si>
  <si>
    <t xml:space="preserve">R²</t>
  </si>
  <si>
    <t xml:space="preserve">–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</si>
</sst>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00E+00"/>
    <numFmt numFmtId="166" formatCode="0.000"/>
  </numFmts>
  <fonts count="6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name val="Aptos Narrow"/>
      <family val="0"/>
      <charset val="1"/>
    </font>
    <font>
      <b val="true"/>
      <sz val="11"/>
      <name val="Aptos Narrow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theme="9" tint="0.5999"/>
        <bgColor rgb="FFC0C0C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B4E5A2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10"/>
  <sheetViews>
    <sheetView showFormulas="false" showGridLines="true" showRowColHeaders="true" showZeros="true" rightToLeft="false" tabSelected="true" showOutlineSymbols="true" defaultGridColor="true" view="normal" topLeftCell="A1" colorId="64" zoomScale="105" zoomScaleNormal="105" zoomScalePageLayoutView="100" workbookViewId="0">
      <selection pane="topLeft" activeCell="C67" activeCellId="0" sqref="C67"/>
    </sheetView>
  </sheetViews>
  <sheetFormatPr defaultColWidth="11.42578125" defaultRowHeight="15" zeroHeight="false" outlineLevelRow="0" outlineLevelCol="0"/>
  <cols>
    <col collapsed="false" customWidth="true" hidden="false" outlineLevel="0" max="3" min="3" style="0" width="16.85"/>
    <col collapsed="false" customWidth="true" hidden="false" outlineLevel="0" max="4" min="4" style="0" width="16.14"/>
    <col collapsed="false" customWidth="true" hidden="false" outlineLevel="0" max="5" min="5" style="0" width="15.14"/>
    <col collapsed="false" customWidth="true" hidden="false" outlineLevel="0" max="8" min="8" style="0" width="15.28"/>
    <col collapsed="false" customWidth="true" hidden="false" outlineLevel="0" max="9" min="9" style="0" width="15"/>
    <col collapsed="false" customWidth="true" hidden="false" outlineLevel="0" max="14" min="13" style="0" width="15.14"/>
  </cols>
  <sheetData>
    <row r="2" customFormat="false" ht="15" hidden="false" customHeight="false" outlineLevel="0" collapsed="false">
      <c r="D2" s="1" t="s">
        <v>0</v>
      </c>
      <c r="E2" s="1"/>
    </row>
    <row r="3" customFormat="false" ht="15" hidden="false" customHeight="false" outlineLevel="0" collapsed="false">
      <c r="B3" s="2"/>
      <c r="C3" s="2"/>
      <c r="D3" s="2" t="s">
        <v>1</v>
      </c>
      <c r="E3" s="2" t="s">
        <v>2</v>
      </c>
    </row>
    <row r="4" customFormat="false" ht="15" hidden="false" customHeight="false" outlineLevel="0" collapsed="false">
      <c r="B4" s="1" t="s">
        <v>3</v>
      </c>
      <c r="C4" s="1" t="s">
        <v>4</v>
      </c>
      <c r="D4" s="1" t="s">
        <v>5</v>
      </c>
      <c r="E4" s="1" t="s">
        <v>5</v>
      </c>
    </row>
    <row r="5" customFormat="false" ht="15" hidden="false" customHeight="false" outlineLevel="0" collapsed="false">
      <c r="B5" s="2" t="n">
        <v>130</v>
      </c>
      <c r="C5" s="2" t="n">
        <f aca="false">B5*(9.81/1000)</f>
        <v>1.2753</v>
      </c>
      <c r="D5" s="2" t="n">
        <v>3300</v>
      </c>
      <c r="E5" s="2" t="n">
        <v>1320</v>
      </c>
    </row>
    <row r="6" customFormat="false" ht="15" hidden="false" customHeight="false" outlineLevel="0" collapsed="false">
      <c r="B6" s="2" t="n">
        <v>140</v>
      </c>
      <c r="C6" s="2" t="n">
        <f aca="false">B6*(9.81/1000)</f>
        <v>1.3734</v>
      </c>
      <c r="D6" s="2" t="n">
        <v>3400</v>
      </c>
      <c r="E6" s="2" t="n">
        <v>1420</v>
      </c>
    </row>
    <row r="7" customFormat="false" ht="15" hidden="false" customHeight="false" outlineLevel="0" collapsed="false">
      <c r="B7" s="2" t="n">
        <v>150</v>
      </c>
      <c r="C7" s="2" t="n">
        <f aca="false">B7*(9.81/1000)</f>
        <v>1.4715</v>
      </c>
      <c r="D7" s="2" t="n">
        <v>3480</v>
      </c>
      <c r="E7" s="2" t="n">
        <v>1480</v>
      </c>
    </row>
    <row r="8" customFormat="false" ht="15" hidden="false" customHeight="false" outlineLevel="0" collapsed="false">
      <c r="B8" s="2" t="n">
        <v>170</v>
      </c>
      <c r="C8" s="2" t="n">
        <f aca="false">B8*(9.81/1000)</f>
        <v>1.6677</v>
      </c>
      <c r="D8" s="2" t="n">
        <v>3520</v>
      </c>
      <c r="E8" s="2" t="n">
        <v>1540</v>
      </c>
    </row>
    <row r="9" customFormat="false" ht="15" hidden="false" customHeight="false" outlineLevel="0" collapsed="false">
      <c r="B9" s="2" t="n">
        <v>180</v>
      </c>
      <c r="C9" s="2" t="n">
        <f aca="false">B9*(9.81/1000)</f>
        <v>1.7658</v>
      </c>
      <c r="D9" s="2" t="n">
        <v>3660</v>
      </c>
      <c r="E9" s="2" t="n">
        <v>1580</v>
      </c>
    </row>
    <row r="10" customFormat="false" ht="15" hidden="false" customHeight="false" outlineLevel="0" collapsed="false">
      <c r="B10" s="2" t="n">
        <v>230</v>
      </c>
      <c r="C10" s="2" t="n">
        <f aca="false">B10*(9.81/1000)</f>
        <v>2.2563</v>
      </c>
      <c r="D10" s="2" t="n">
        <v>3700</v>
      </c>
      <c r="E10" s="2" t="n">
        <v>1900</v>
      </c>
    </row>
  </sheetData>
  <mergeCells count="1">
    <mergeCell ref="D2:E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D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1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6"/>
    <col collapsed="false" customWidth="true" hidden="false" outlineLevel="0" max="3" min="3" style="0" width="14"/>
    <col collapsed="false" customWidth="true" hidden="false" outlineLevel="0" max="4" min="4" style="0" width="10"/>
  </cols>
  <sheetData>
    <row r="1" customFormat="false" ht="15" hidden="false" customHeight="false" outlineLevel="0" collapsed="false">
      <c r="B1" s="3" t="s">
        <v>6</v>
      </c>
    </row>
    <row r="3" customFormat="false" ht="15" hidden="false" customHeight="false" outlineLevel="0" collapsed="false">
      <c r="B3" s="4" t="s">
        <v>7</v>
      </c>
      <c r="C3" s="4" t="s">
        <v>8</v>
      </c>
      <c r="D3" s="4" t="s">
        <v>9</v>
      </c>
    </row>
    <row r="4" customFormat="false" ht="15" hidden="false" customHeight="false" outlineLevel="0" collapsed="false">
      <c r="B4" s="5" t="s">
        <v>10</v>
      </c>
      <c r="C4" s="6" t="n">
        <f aca="false">SLOPE(Data!C5:C10,Data!E5:E10)</f>
        <v>0.00176738866396761</v>
      </c>
      <c r="D4" s="5" t="s">
        <v>11</v>
      </c>
    </row>
    <row r="5" customFormat="false" ht="15" hidden="false" customHeight="false" outlineLevel="0" collapsed="false">
      <c r="B5" s="5" t="s">
        <v>12</v>
      </c>
      <c r="C5" s="7" t="n">
        <f aca="false">INTERCEPT(Data!C5:C10,Data!E5:E10)</f>
        <v>-1.08677854251012</v>
      </c>
      <c r="D5" s="5" t="s">
        <v>13</v>
      </c>
    </row>
    <row r="6" customFormat="false" ht="15" hidden="false" customHeight="false" outlineLevel="0" collapsed="false">
      <c r="B6" s="5" t="s">
        <v>14</v>
      </c>
      <c r="C6" s="7" t="n">
        <f aca="false">RSQ(Data!C5:C10,Data!E5:E10)</f>
        <v>0.981698752375444</v>
      </c>
      <c r="D6" s="5" t="s">
        <v>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2026-05-19T01:55:15Z</dcterms:created>
  <dc:creator>Luis Felipe Muñoz Sepulveda</dc:creator>
  <dc:description/>
  <dc:language>en-US</dc:language>
  <cp:lastModifiedBy>Luis Felipe Muñoz Sepulveda</cp:lastModifiedBy>
  <dcterms:modified xsi:type="dcterms:W3CDTF">2026-10-23T01:28:17Z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