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5740ffd8a34622/Escritorio/preprosthetic-robotic-hand/experimental_data/"/>
    </mc:Choice>
  </mc:AlternateContent>
  <xr:revisionPtr revIDLastSave="30" documentId="8_{02DA831A-85AE-4687-ACCE-21D19AE54C97}" xr6:coauthVersionLast="47" xr6:coauthVersionMax="47" xr10:uidLastSave="{80417496-79C9-412E-98E2-303A4F870092}"/>
  <bookViews>
    <workbookView xWindow="-120" yWindow="-120" windowWidth="20730" windowHeight="11040" xr2:uid="{F79691EB-FCD4-4BA8-B80D-061A19F0D7E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6" i="1"/>
  <c r="C7" i="1"/>
  <c r="C8" i="1"/>
  <c r="C9" i="1"/>
  <c r="C5" i="1"/>
  <c r="D61" i="1"/>
  <c r="D60" i="1"/>
  <c r="D59" i="1"/>
</calcChain>
</file>

<file path=xl/sharedStrings.xml><?xml version="1.0" encoding="utf-8"?>
<sst xmlns="http://schemas.openxmlformats.org/spreadsheetml/2006/main" count="19" uniqueCount="18">
  <si>
    <t>10k</t>
  </si>
  <si>
    <t>1k</t>
  </si>
  <si>
    <t>TB6612FNG</t>
  </si>
  <si>
    <t>A</t>
  </si>
  <si>
    <t>mA</t>
  </si>
  <si>
    <t>Encoder negativo</t>
  </si>
  <si>
    <t>Fuente</t>
  </si>
  <si>
    <t>Encoder positivo</t>
  </si>
  <si>
    <t>fuente</t>
  </si>
  <si>
    <t>Salida</t>
  </si>
  <si>
    <t>Tornillo M3</t>
  </si>
  <si>
    <t>Cant</t>
  </si>
  <si>
    <t>esquinero</t>
  </si>
  <si>
    <t>doble</t>
  </si>
  <si>
    <t>Force (N)</t>
  </si>
  <si>
    <t>Mass (g)</t>
  </si>
  <si>
    <t>Resistance</t>
  </si>
  <si>
    <t>Analog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</si>
</sst>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80FB7F-09AC-4CC0-827B-907379DA72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556F-2490-4AF3-811A-04DB6AC5612C}">
  <dimension ref="B2:I61"/>
  <sheetViews>
    <sheetView tabSelected="1" zoomScale="105" workbookViewId="0">
      <selection activeCell="G10" sqref="G10"/>
    </sheetView>
  </sheetViews>
  <sheetFormatPr defaultColWidth="11.42578125" defaultRowHeight="15" x14ac:dyDescent="0.25"/>
  <cols>
    <col min="3" max="3" width="16.85546875" bestFit="1" customWidth="1"/>
    <col min="4" max="4" width="16.140625" bestFit="1" customWidth="1"/>
    <col min="5" max="5" width="15.140625" bestFit="1" customWidth="1"/>
    <col min="8" max="8" width="15.28515625" customWidth="1"/>
    <col min="9" max="9" width="15" bestFit="1" customWidth="1"/>
    <col min="13" max="14" width="15.140625" bestFit="1" customWidth="1"/>
  </cols>
  <sheetData>
    <row r="2" spans="2:9" x14ac:dyDescent="0.25">
      <c r="D2" s="4" t="s">
        <v>16</v>
      </c>
      <c r="E2" s="4"/>
    </row>
    <row r="3" spans="2:9" x14ac:dyDescent="0.25">
      <c r="B3" s="1"/>
      <c r="C3" s="1"/>
      <c r="D3" s="1" t="s">
        <v>0</v>
      </c>
      <c r="E3" s="1" t="s">
        <v>1</v>
      </c>
    </row>
    <row r="4" spans="2:9" x14ac:dyDescent="0.25">
      <c r="B4" s="3" t="s">
        <v>15</v>
      </c>
      <c r="C4" s="3" t="s">
        <v>14</v>
      </c>
      <c r="D4" s="3" t="s">
        <v>17</v>
      </c>
      <c r="E4" s="3" t="s">
        <v>17</v>
      </c>
      <c r="F4" s="2"/>
      <c r="G4" s="2"/>
      <c r="H4" s="2"/>
      <c r="I4" s="2"/>
    </row>
    <row r="5" spans="2:9" x14ac:dyDescent="0.25">
      <c r="B5" s="1">
        <v>130</v>
      </c>
      <c r="C5" s="1">
        <f>B5*(9.81/1000)</f>
        <v>1.2753000000000001</v>
      </c>
      <c r="D5" s="1">
        <v>3300</v>
      </c>
      <c r="E5" s="1">
        <v>1320</v>
      </c>
      <c r="F5" s="2"/>
      <c r="G5" s="2"/>
      <c r="H5" s="2"/>
      <c r="I5" s="2"/>
    </row>
    <row r="6" spans="2:9" x14ac:dyDescent="0.25">
      <c r="B6" s="1">
        <v>140</v>
      </c>
      <c r="C6" s="1">
        <f t="shared" ref="C6:C10" si="0">B6*(9.81/1000)</f>
        <v>1.3734000000000002</v>
      </c>
      <c r="D6" s="1">
        <v>3400</v>
      </c>
      <c r="E6" s="1">
        <v>1420</v>
      </c>
      <c r="F6" s="2"/>
      <c r="G6" s="2"/>
      <c r="H6" s="2"/>
      <c r="I6" s="2"/>
    </row>
    <row r="7" spans="2:9" x14ac:dyDescent="0.25">
      <c r="B7" s="1">
        <v>150</v>
      </c>
      <c r="C7" s="1">
        <f t="shared" si="0"/>
        <v>1.4715000000000003</v>
      </c>
      <c r="D7" s="1">
        <v>3480</v>
      </c>
      <c r="E7" s="1">
        <v>1480</v>
      </c>
      <c r="F7" s="2"/>
      <c r="G7" s="2"/>
      <c r="H7" s="2"/>
      <c r="I7" s="2"/>
    </row>
    <row r="8" spans="2:9" x14ac:dyDescent="0.25">
      <c r="B8" s="1">
        <v>170</v>
      </c>
      <c r="C8" s="1">
        <f t="shared" si="0"/>
        <v>1.6677000000000002</v>
      </c>
      <c r="D8" s="1">
        <v>3520</v>
      </c>
      <c r="E8" s="1">
        <v>1540</v>
      </c>
      <c r="F8" s="2"/>
      <c r="G8" s="2"/>
      <c r="H8" s="2"/>
      <c r="I8" s="2"/>
    </row>
    <row r="9" spans="2:9" x14ac:dyDescent="0.25">
      <c r="B9" s="1">
        <v>180</v>
      </c>
      <c r="C9" s="1">
        <f t="shared" si="0"/>
        <v>1.7658000000000003</v>
      </c>
      <c r="D9" s="1">
        <v>3660</v>
      </c>
      <c r="E9" s="1">
        <v>1580</v>
      </c>
      <c r="F9" s="2"/>
      <c r="G9" s="2"/>
      <c r="H9" s="2"/>
      <c r="I9" s="2"/>
    </row>
    <row r="10" spans="2:9" x14ac:dyDescent="0.25">
      <c r="B10" s="1">
        <v>230</v>
      </c>
      <c r="C10" s="1">
        <f>B10*(9.81/1000)</f>
        <v>2.2563000000000004</v>
      </c>
      <c r="D10" s="1">
        <v>3700</v>
      </c>
      <c r="E10" s="1">
        <v>1900</v>
      </c>
      <c r="F10" s="2"/>
      <c r="G10" s="2"/>
      <c r="H10" s="2"/>
      <c r="I10" s="2"/>
    </row>
    <row r="15" spans="2:9" x14ac:dyDescent="0.25">
      <c r="E15" s="2"/>
      <c r="F15" s="2"/>
    </row>
    <row r="16" spans="2:9" x14ac:dyDescent="0.25">
      <c r="E16" s="2"/>
      <c r="F16" s="2"/>
    </row>
    <row r="17" spans="5:6" x14ac:dyDescent="0.25">
      <c r="E17" s="2"/>
      <c r="F17" s="2"/>
    </row>
    <row r="18" spans="5:6" x14ac:dyDescent="0.25">
      <c r="E18" s="2"/>
      <c r="F18" s="2"/>
    </row>
    <row r="19" spans="5:6" x14ac:dyDescent="0.25">
      <c r="E19" s="2"/>
      <c r="F19" s="2"/>
    </row>
    <row r="48" spans="3:4" x14ac:dyDescent="0.25">
      <c r="C48" t="s">
        <v>3</v>
      </c>
      <c r="D48" t="s">
        <v>4</v>
      </c>
    </row>
    <row r="50" spans="3:5" x14ac:dyDescent="0.25">
      <c r="C50">
        <v>11</v>
      </c>
      <c r="D50" t="s">
        <v>5</v>
      </c>
      <c r="E50">
        <v>24</v>
      </c>
    </row>
    <row r="51" spans="3:5" x14ac:dyDescent="0.25">
      <c r="C51">
        <v>2</v>
      </c>
      <c r="D51" t="s">
        <v>6</v>
      </c>
    </row>
    <row r="53" spans="3:5" x14ac:dyDescent="0.25">
      <c r="C53">
        <v>11</v>
      </c>
      <c r="D53" t="s">
        <v>7</v>
      </c>
    </row>
    <row r="54" spans="3:5" x14ac:dyDescent="0.25">
      <c r="C54">
        <v>2</v>
      </c>
      <c r="D54" t="s">
        <v>8</v>
      </c>
    </row>
    <row r="55" spans="3:5" x14ac:dyDescent="0.25">
      <c r="C55">
        <v>1</v>
      </c>
      <c r="D55" t="s">
        <v>2</v>
      </c>
    </row>
    <row r="56" spans="3:5" x14ac:dyDescent="0.25">
      <c r="C56">
        <v>1</v>
      </c>
      <c r="D56" t="s">
        <v>9</v>
      </c>
    </row>
    <row r="58" spans="3:5" x14ac:dyDescent="0.25">
      <c r="C58" t="s">
        <v>10</v>
      </c>
      <c r="D58" t="s">
        <v>11</v>
      </c>
    </row>
    <row r="59" spans="3:5" x14ac:dyDescent="0.25">
      <c r="C59" t="s">
        <v>12</v>
      </c>
      <c r="D59">
        <f>6*3</f>
        <v>18</v>
      </c>
    </row>
    <row r="60" spans="3:5" x14ac:dyDescent="0.25">
      <c r="C60" t="s">
        <v>13</v>
      </c>
      <c r="D60">
        <f>10*2</f>
        <v>20</v>
      </c>
    </row>
    <row r="61" spans="3:5" x14ac:dyDescent="0.25">
      <c r="D61">
        <f>SUM(D59:D60)</f>
        <v>38</v>
      </c>
    </row>
  </sheetData>
  <sortState xmlns:xlrd2="http://schemas.microsoft.com/office/spreadsheetml/2017/richdata2" ref="B3:C11">
    <sortCondition ref="B3:B11"/>
  </sortState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Muñoz Sepulveda</dc:creator>
  <cp:lastModifiedBy>Luis Felipe Muñoz Sepulveda</cp:lastModifiedBy>
  <dcterms:created xsi:type="dcterms:W3CDTF">2026-05-19T01:55:15Z</dcterms:created>
  <dcterms:modified xsi:type="dcterms:W3CDTF">2026-10-21T18:05:32Z</dcterms:modified>
</cp:coreProperties>
</file>