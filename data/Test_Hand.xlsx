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jects" sheetId="1" state="visible" r:id="rId3"/>
    <sheet name="Test_Lateral" sheetId="2" state="visible" r:id="rId4"/>
    <sheet name="Test_Pinch" sheetId="3" state="visible" r:id="rId5"/>
    <sheet name="Test_Cylindrical" sheetId="4" state="visible" r:id="rId6"/>
    <sheet name="Sta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<sst xmlns="http://schemas.openxmlformats.org/spreadsheetml/2006/main" count="180" uniqueCount="71">
  <si>
    <t xml:space="preserve">ID</t>
  </si>
  <si>
    <t xml:space="preserve">Grasp</t>
  </si>
  <si>
    <t xml:space="preserve">Object</t>
  </si>
  <si>
    <t xml:space="preserve">Mass (g)</t>
  </si>
  <si>
    <t xml:space="preserve">Dimensions (mm)</t>
  </si>
  <si>
    <t xml:space="preserve">Stiffness</t>
  </si>
  <si>
    <t xml:space="preserve">PIN-1</t>
  </si>
  <si>
    <t xml:space="preserve">Pinch</t>
  </si>
  <si>
    <t xml:space="preserve">Phone box</t>
  </si>
  <si>
    <t xml:space="preserve">80x67x19</t>
  </si>
  <si>
    <t xml:space="preserve">D</t>
  </si>
  <si>
    <t xml:space="preserve">PIN-2</t>
  </si>
  <si>
    <t xml:space="preserve">PCB</t>
  </si>
  <si>
    <t xml:space="preserve">72x44x1,6</t>
  </si>
  <si>
    <t xml:space="preserve">R</t>
  </si>
  <si>
    <t xml:space="preserve">PIN-3</t>
  </si>
  <si>
    <t xml:space="preserve">USB drive</t>
  </si>
  <si>
    <t xml:space="preserve">60x15,6x9</t>
  </si>
  <si>
    <t xml:space="preserve">LAT-1</t>
  </si>
  <si>
    <t xml:space="preserve">Lateral pinch</t>
  </si>
  <si>
    <t xml:space="preserve">Phone charger</t>
  </si>
  <si>
    <t xml:space="preserve">48x35x14</t>
  </si>
  <si>
    <t xml:space="preserve">LAT-2</t>
  </si>
  <si>
    <t xml:space="preserve">LAT-3</t>
  </si>
  <si>
    <t xml:space="preserve">CIL-1</t>
  </si>
  <si>
    <t xml:space="preserve">Cylindrical</t>
  </si>
  <si>
    <t xml:space="preserve">Deodorant container</t>
  </si>
  <si>
    <t xml:space="preserve">25x141</t>
  </si>
  <si>
    <t xml:space="preserve">CIL-2</t>
  </si>
  <si>
    <t xml:space="preserve">Plastic bottle</t>
  </si>
  <si>
    <t xml:space="preserve">38x227</t>
  </si>
  <si>
    <t xml:space="preserve">CIL-3</t>
  </si>
  <si>
    <t xml:space="preserve">Aluminum bottle</t>
  </si>
  <si>
    <t xml:space="preserve">36,5x250</t>
  </si>
  <si>
    <t xml:space="preserve">Intento</t>
  </si>
  <si>
    <t xml:space="preserve">Objeto</t>
  </si>
  <si>
    <t xml:space="preserve">Éxito (1)/Fracaso(0)</t>
  </si>
  <si>
    <t xml:space="preserve">FSR indice max (ADC)</t>
  </si>
  <si>
    <t xml:space="preserve">FSR pulgar max (ADC)</t>
  </si>
  <si>
    <t xml:space="preserve">Ang. final                  MCP indice (°)</t>
  </si>
  <si>
    <t xml:space="preserve">Ang. final            PIP indice (°)</t>
  </si>
  <si>
    <t xml:space="preserve">Ang. final                  ABD pulgar (°)</t>
  </si>
  <si>
    <t xml:space="preserve">Ang. final      MCP pulgar (°)</t>
  </si>
  <si>
    <t xml:space="preserve">-</t>
  </si>
  <si>
    <t xml:space="preserve">Observaciones</t>
  </si>
  <si>
    <t xml:space="preserve">Error en PIP indice</t>
  </si>
  <si>
    <t xml:space="preserve">Ang. final                  MCP medio (°)</t>
  </si>
  <si>
    <t xml:space="preserve">Ang. final            PIP medio (°)</t>
  </si>
  <si>
    <t xml:space="preserve">Ang. final                  MCP anular (°)</t>
  </si>
  <si>
    <t xml:space="preserve">Ang. final            PIP anular (°)</t>
  </si>
  <si>
    <t xml:space="preserve">Ang. final                  MCP meñique (°)</t>
  </si>
  <si>
    <t xml:space="preserve">Ang. final            PIP meñique (°)</t>
  </si>
  <si>
    <t xml:space="preserve">Statistics per object (n = 5 attempts, including failures). Mean and sample standard deviation (STDEV). Paper Tables IV and V.</t>
  </si>
  <si>
    <t xml:space="preserve">Successes</t>
  </si>
  <si>
    <t xml:space="preserve">Index FSR mean (ADC)</t>
  </si>
  <si>
    <t xml:space="preserve">Index FSR SD (ADC)</t>
  </si>
  <si>
    <t xml:space="preserve">Thumb FSR mean (ADC)</t>
  </si>
  <si>
    <t xml:space="preserve">Thumb FSR SD (ADC)</t>
  </si>
  <si>
    <t xml:space="preserve">Index MCP mean (°)</t>
  </si>
  <si>
    <t xml:space="preserve">Index MCP SD (°)</t>
  </si>
  <si>
    <t xml:space="preserve">Index PIP mean (°)</t>
  </si>
  <si>
    <t xml:space="preserve">Index PIP SD (°)</t>
  </si>
  <si>
    <t xml:space="preserve">Thumb ABD mean (°)</t>
  </si>
  <si>
    <t xml:space="preserve">Thumb ABD SD (°)</t>
  </si>
  <si>
    <t xml:space="preserve">Thumb MCP mean (°)</t>
  </si>
  <si>
    <t xml:space="preserve">Thumb MCP SD (°)</t>
  </si>
  <si>
    <t xml:space="preserve">Pinch total</t>
  </si>
  <si>
    <t xml:space="preserve">–</t>
  </si>
  <si>
    <t xml:space="preserve">Lateral total</t>
  </si>
  <si>
    <t xml:space="preserve">Cylindrical total</t>
  </si>
  <si>
    <t xml:space="preserve">Successes are out of 5 attempts per object (15 per grasp pattern). Index FSR values were not recorded for lateral pinch.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</si>
</sst>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.0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  <font>
      <sz val="11"/>
      <name val="Aptos Narrow"/>
      <family val="0"/>
      <charset val="1"/>
    </font>
    <font>
      <b val="true"/>
      <sz val="11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1"/>
  <sheetViews>
    <sheetView showFormulas="false" showGridLines="true" showRowColHeaders="true" showZeros="true" rightToLeft="false" tabSelected="true" showOutlineSymbols="true" defaultGridColor="true" view="normal" topLeftCell="A1" colorId="64" zoomScale="105" zoomScaleNormal="105" zoomScalePageLayoutView="100" workbookViewId="0">
      <selection pane="topLeft" activeCell="E13" activeCellId="0" sqref="E13"/>
    </sheetView>
  </sheetViews>
  <sheetFormatPr defaultColWidth="11.42578125" defaultRowHeight="15" zeroHeight="false" outlineLevelRow="0" outlineLevelCol="0"/>
  <cols>
    <col collapsed="false" customWidth="true" hidden="false" outlineLevel="0" max="3" min="3" style="0" width="17.28"/>
    <col collapsed="false" customWidth="true" hidden="false" outlineLevel="0" max="4" min="4" style="0" width="19.42"/>
    <col collapsed="false" customWidth="true" hidden="false" outlineLevel="0" max="6" min="6" style="0" width="17"/>
  </cols>
  <sheetData>
    <row r="2" customFormat="false" ht="15" hidden="false" customHeight="false" outlineLevel="0" collapsed="false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customFormat="false" ht="15" hidden="false" customHeight="false" outlineLevel="0" collapsed="false">
      <c r="B3" s="2" t="s">
        <v>6</v>
      </c>
      <c r="C3" s="2" t="s">
        <v>7</v>
      </c>
      <c r="D3" s="2" t="s">
        <v>8</v>
      </c>
      <c r="E3" s="2" t="n">
        <v>16</v>
      </c>
      <c r="F3" s="2" t="s">
        <v>9</v>
      </c>
      <c r="G3" s="2" t="s">
        <v>10</v>
      </c>
    </row>
    <row r="4" customFormat="false" ht="15" hidden="false" customHeight="false" outlineLevel="0" collapsed="false">
      <c r="B4" s="2" t="s">
        <v>11</v>
      </c>
      <c r="C4" s="2" t="s">
        <v>7</v>
      </c>
      <c r="D4" s="2" t="s">
        <v>12</v>
      </c>
      <c r="E4" s="2" t="n">
        <v>10</v>
      </c>
      <c r="F4" s="2" t="s">
        <v>13</v>
      </c>
      <c r="G4" s="2" t="s">
        <v>14</v>
      </c>
    </row>
    <row r="5" customFormat="false" ht="15" hidden="false" customHeight="false" outlineLevel="0" collapsed="false">
      <c r="B5" s="2" t="s">
        <v>15</v>
      </c>
      <c r="C5" s="2" t="s">
        <v>7</v>
      </c>
      <c r="D5" s="2" t="s">
        <v>16</v>
      </c>
      <c r="E5" s="2" t="n">
        <v>18</v>
      </c>
      <c r="F5" s="2" t="s">
        <v>17</v>
      </c>
      <c r="G5" s="2" t="s">
        <v>14</v>
      </c>
    </row>
    <row r="6" customFormat="false" ht="15" hidden="false" customHeight="false" outlineLevel="0" collapsed="false">
      <c r="B6" s="2" t="s">
        <v>18</v>
      </c>
      <c r="C6" s="2" t="s">
        <v>19</v>
      </c>
      <c r="D6" s="2" t="s">
        <v>20</v>
      </c>
      <c r="E6" s="2" t="n">
        <v>27</v>
      </c>
      <c r="F6" s="2" t="s">
        <v>21</v>
      </c>
      <c r="G6" s="2" t="s">
        <v>10</v>
      </c>
    </row>
    <row r="7" customFormat="false" ht="15" hidden="false" customHeight="false" outlineLevel="0" collapsed="false">
      <c r="B7" s="2" t="s">
        <v>22</v>
      </c>
      <c r="C7" s="2" t="s">
        <v>19</v>
      </c>
      <c r="D7" s="2" t="s">
        <v>12</v>
      </c>
      <c r="E7" s="2" t="n">
        <v>10</v>
      </c>
      <c r="F7" s="2" t="s">
        <v>13</v>
      </c>
      <c r="G7" s="2" t="s">
        <v>14</v>
      </c>
    </row>
    <row r="8" customFormat="false" ht="15" hidden="false" customHeight="false" outlineLevel="0" collapsed="false">
      <c r="B8" s="2" t="s">
        <v>23</v>
      </c>
      <c r="C8" s="2" t="s">
        <v>19</v>
      </c>
      <c r="D8" s="2" t="s">
        <v>8</v>
      </c>
      <c r="E8" s="2" t="n">
        <v>16</v>
      </c>
      <c r="F8" s="2" t="s">
        <v>9</v>
      </c>
      <c r="G8" s="2" t="s">
        <v>10</v>
      </c>
    </row>
    <row r="9" customFormat="false" ht="15" hidden="false" customHeight="false" outlineLevel="0" collapsed="false">
      <c r="B9" s="2" t="s">
        <v>24</v>
      </c>
      <c r="C9" s="2" t="s">
        <v>25</v>
      </c>
      <c r="D9" s="2" t="s">
        <v>26</v>
      </c>
      <c r="E9" s="2" t="n">
        <v>61</v>
      </c>
      <c r="F9" s="2" t="s">
        <v>27</v>
      </c>
      <c r="G9" s="2" t="s">
        <v>14</v>
      </c>
    </row>
    <row r="10" customFormat="false" ht="15" hidden="false" customHeight="false" outlineLevel="0" collapsed="false">
      <c r="B10" s="2" t="s">
        <v>28</v>
      </c>
      <c r="C10" s="2" t="s">
        <v>25</v>
      </c>
      <c r="D10" s="2" t="s">
        <v>29</v>
      </c>
      <c r="E10" s="2" t="n">
        <v>122</v>
      </c>
      <c r="F10" s="2" t="s">
        <v>30</v>
      </c>
      <c r="G10" s="2" t="s">
        <v>14</v>
      </c>
    </row>
    <row r="11" customFormat="false" ht="15" hidden="false" customHeight="false" outlineLevel="0" collapsed="false">
      <c r="B11" s="2" t="s">
        <v>31</v>
      </c>
      <c r="C11" s="2" t="s">
        <v>25</v>
      </c>
      <c r="D11" s="2" t="s">
        <v>32</v>
      </c>
      <c r="E11" s="2" t="n">
        <v>132</v>
      </c>
      <c r="F11" s="2" t="s">
        <v>33</v>
      </c>
      <c r="G11" s="2" t="s">
        <v>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7"/>
  <sheetViews>
    <sheetView showFormulas="false" showGridLines="true" showRowColHeaders="true" showZeros="true" rightToLeft="false" tabSelected="false" showOutlineSymbols="true" defaultGridColor="true" view="normal" topLeftCell="A2" colorId="64" zoomScale="90" zoomScaleNormal="90" zoomScalePageLayoutView="100" workbookViewId="0">
      <selection pane="topLeft" activeCell="A2" activeCellId="0" sqref="A2"/>
    </sheetView>
  </sheetViews>
  <sheetFormatPr defaultColWidth="11.42578125" defaultRowHeight="15" zeroHeight="false" outlineLevelRow="0" outlineLevelCol="0"/>
  <cols>
    <col collapsed="false" customWidth="true" hidden="false" outlineLevel="0" max="3" min="3" style="0" width="18.42"/>
    <col collapsed="false" customWidth="true" hidden="false" outlineLevel="0" max="4" min="4" style="0" width="11.71"/>
    <col collapsed="false" customWidth="true" hidden="false" outlineLevel="0" max="5" min="5" style="0" width="12"/>
    <col collapsed="false" customWidth="true" hidden="false" outlineLevel="0" max="6" min="6" style="0" width="13.71"/>
    <col collapsed="false" customWidth="true" hidden="false" outlineLevel="0" max="8" min="7" style="0" width="13.14"/>
  </cols>
  <sheetData>
    <row r="2" customFormat="false" ht="45" hidden="false" customHeight="true" outlineLevel="0" collapsed="false">
      <c r="A2" s="3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4" t="s">
        <v>39</v>
      </c>
      <c r="G2" s="4" t="s">
        <v>40</v>
      </c>
      <c r="H2" s="4" t="s">
        <v>41</v>
      </c>
      <c r="I2" s="4" t="s">
        <v>42</v>
      </c>
    </row>
    <row r="3" customFormat="false" ht="15" hidden="false" customHeight="false" outlineLevel="0" collapsed="false">
      <c r="A3" s="2" t="n">
        <v>1</v>
      </c>
      <c r="B3" s="2" t="s">
        <v>18</v>
      </c>
      <c r="C3" s="2" t="n">
        <v>1</v>
      </c>
      <c r="D3" s="2" t="s">
        <v>43</v>
      </c>
      <c r="E3" s="2" t="n">
        <v>38</v>
      </c>
      <c r="F3" s="2" t="n">
        <v>73.8</v>
      </c>
      <c r="G3" s="2" t="n">
        <v>44.5</v>
      </c>
      <c r="H3" s="2" t="n">
        <v>17.2</v>
      </c>
      <c r="I3" s="2" t="n">
        <v>64.2</v>
      </c>
    </row>
    <row r="4" customFormat="false" ht="15" hidden="false" customHeight="false" outlineLevel="0" collapsed="false">
      <c r="A4" s="2" t="n">
        <v>2</v>
      </c>
      <c r="B4" s="2" t="s">
        <v>18</v>
      </c>
      <c r="C4" s="2" t="n">
        <v>1</v>
      </c>
      <c r="D4" s="2" t="s">
        <v>43</v>
      </c>
      <c r="E4" s="2" t="n">
        <v>76</v>
      </c>
      <c r="F4" s="2" t="n">
        <v>73.8</v>
      </c>
      <c r="G4" s="2" t="n">
        <v>44.6</v>
      </c>
      <c r="H4" s="2" t="n">
        <v>17.1</v>
      </c>
      <c r="I4" s="2" t="n">
        <v>64.1</v>
      </c>
    </row>
    <row r="5" customFormat="false" ht="15" hidden="false" customHeight="false" outlineLevel="0" collapsed="false">
      <c r="A5" s="2" t="n">
        <v>3</v>
      </c>
      <c r="B5" s="2" t="s">
        <v>18</v>
      </c>
      <c r="C5" s="2" t="n">
        <v>1</v>
      </c>
      <c r="D5" s="2" t="s">
        <v>43</v>
      </c>
      <c r="E5" s="2" t="n">
        <v>45</v>
      </c>
      <c r="F5" s="2" t="n">
        <v>74</v>
      </c>
      <c r="G5" s="2" t="n">
        <v>44.7</v>
      </c>
      <c r="H5" s="2" t="n">
        <v>17.2</v>
      </c>
      <c r="I5" s="2" t="n">
        <v>64.5</v>
      </c>
    </row>
    <row r="6" customFormat="false" ht="15" hidden="false" customHeight="false" outlineLevel="0" collapsed="false">
      <c r="A6" s="2" t="n">
        <v>4</v>
      </c>
      <c r="B6" s="2" t="s">
        <v>18</v>
      </c>
      <c r="C6" s="2" t="n">
        <v>1</v>
      </c>
      <c r="D6" s="2" t="s">
        <v>43</v>
      </c>
      <c r="E6" s="2" t="n">
        <v>308</v>
      </c>
      <c r="F6" s="2" t="n">
        <v>73.9</v>
      </c>
      <c r="G6" s="2" t="n">
        <v>44.6</v>
      </c>
      <c r="H6" s="2" t="n">
        <v>17.3</v>
      </c>
      <c r="I6" s="2" t="n">
        <v>65.6</v>
      </c>
    </row>
    <row r="7" customFormat="false" ht="15" hidden="false" customHeight="false" outlineLevel="0" collapsed="false">
      <c r="A7" s="2" t="n">
        <v>5</v>
      </c>
      <c r="B7" s="2" t="s">
        <v>18</v>
      </c>
      <c r="C7" s="2" t="n">
        <v>1</v>
      </c>
      <c r="D7" s="2" t="s">
        <v>43</v>
      </c>
      <c r="E7" s="2" t="n">
        <v>122</v>
      </c>
      <c r="F7" s="2" t="n">
        <v>74</v>
      </c>
      <c r="G7" s="2" t="n">
        <v>47.4</v>
      </c>
      <c r="H7" s="2" t="n">
        <v>20.6</v>
      </c>
      <c r="I7" s="2" t="n">
        <v>64.8</v>
      </c>
    </row>
    <row r="8" customFormat="false" ht="15" hidden="false" customHeight="false" outlineLevel="0" collapsed="false">
      <c r="A8" s="2" t="n">
        <v>1</v>
      </c>
      <c r="B8" s="2" t="s">
        <v>22</v>
      </c>
      <c r="C8" s="2" t="n">
        <v>1</v>
      </c>
      <c r="D8" s="2" t="s">
        <v>43</v>
      </c>
      <c r="E8" s="2" t="n">
        <v>48</v>
      </c>
      <c r="F8" s="2" t="n">
        <v>73.8</v>
      </c>
      <c r="G8" s="2" t="n">
        <v>44.6</v>
      </c>
      <c r="H8" s="2" t="n">
        <v>17.3</v>
      </c>
      <c r="I8" s="2" t="n">
        <v>68.5</v>
      </c>
    </row>
    <row r="9" customFormat="false" ht="15" hidden="false" customHeight="false" outlineLevel="0" collapsed="false">
      <c r="A9" s="2" t="n">
        <v>2</v>
      </c>
      <c r="B9" s="2" t="s">
        <v>22</v>
      </c>
      <c r="C9" s="2" t="n">
        <v>1</v>
      </c>
      <c r="D9" s="2" t="s">
        <v>43</v>
      </c>
      <c r="E9" s="2" t="n">
        <v>37</v>
      </c>
      <c r="F9" s="2" t="n">
        <v>73.8</v>
      </c>
      <c r="G9" s="2" t="n">
        <v>47.4</v>
      </c>
      <c r="H9" s="2" t="n">
        <v>20.5</v>
      </c>
      <c r="I9" s="2" t="n">
        <v>67.7</v>
      </c>
    </row>
    <row r="10" customFormat="false" ht="15" hidden="false" customHeight="false" outlineLevel="0" collapsed="false">
      <c r="A10" s="2" t="n">
        <v>3</v>
      </c>
      <c r="B10" s="2" t="s">
        <v>22</v>
      </c>
      <c r="C10" s="2" t="n">
        <v>1</v>
      </c>
      <c r="D10" s="2" t="s">
        <v>43</v>
      </c>
      <c r="E10" s="2" t="n">
        <v>36</v>
      </c>
      <c r="F10" s="2" t="n">
        <v>73.7</v>
      </c>
      <c r="G10" s="2" t="n">
        <v>44.5</v>
      </c>
      <c r="H10" s="2" t="n">
        <v>16.9</v>
      </c>
      <c r="I10" s="2" t="n">
        <v>68.3</v>
      </c>
    </row>
    <row r="11" customFormat="false" ht="15" hidden="false" customHeight="false" outlineLevel="0" collapsed="false">
      <c r="A11" s="2" t="n">
        <v>4</v>
      </c>
      <c r="B11" s="2" t="s">
        <v>22</v>
      </c>
      <c r="C11" s="2" t="n">
        <v>1</v>
      </c>
      <c r="D11" s="2" t="s">
        <v>43</v>
      </c>
      <c r="E11" s="2" t="n">
        <v>37</v>
      </c>
      <c r="F11" s="2" t="n">
        <v>74.2</v>
      </c>
      <c r="G11" s="2" t="n">
        <v>46.1</v>
      </c>
      <c r="H11" s="2" t="n">
        <v>20.4</v>
      </c>
      <c r="I11" s="2" t="n">
        <v>68.3</v>
      </c>
    </row>
    <row r="12" customFormat="false" ht="15" hidden="false" customHeight="false" outlineLevel="0" collapsed="false">
      <c r="A12" s="2" t="n">
        <v>5</v>
      </c>
      <c r="B12" s="2" t="s">
        <v>22</v>
      </c>
      <c r="C12" s="2" t="n">
        <v>1</v>
      </c>
      <c r="D12" s="2" t="s">
        <v>43</v>
      </c>
      <c r="E12" s="2" t="n">
        <v>40</v>
      </c>
      <c r="F12" s="2" t="n">
        <v>73.9</v>
      </c>
      <c r="G12" s="2" t="n">
        <v>44.7</v>
      </c>
      <c r="H12" s="2" t="n">
        <v>17.2</v>
      </c>
      <c r="I12" s="2" t="n">
        <v>67.8</v>
      </c>
    </row>
    <row r="13" customFormat="false" ht="15" hidden="false" customHeight="false" outlineLevel="0" collapsed="false">
      <c r="A13" s="2" t="n">
        <v>1</v>
      </c>
      <c r="B13" s="2" t="s">
        <v>23</v>
      </c>
      <c r="C13" s="2" t="n">
        <v>1</v>
      </c>
      <c r="D13" s="2" t="s">
        <v>43</v>
      </c>
      <c r="E13" s="2" t="n">
        <v>41</v>
      </c>
      <c r="F13" s="2" t="n">
        <v>74</v>
      </c>
      <c r="G13" s="2" t="n">
        <v>47.5</v>
      </c>
      <c r="H13" s="2" t="n">
        <v>20.8</v>
      </c>
      <c r="I13" s="2" t="n">
        <v>63.9</v>
      </c>
    </row>
    <row r="14" customFormat="false" ht="15" hidden="false" customHeight="false" outlineLevel="0" collapsed="false">
      <c r="A14" s="2" t="n">
        <v>2</v>
      </c>
      <c r="B14" s="2" t="s">
        <v>23</v>
      </c>
      <c r="C14" s="2" t="n">
        <v>1</v>
      </c>
      <c r="D14" s="2" t="s">
        <v>43</v>
      </c>
      <c r="E14" s="2" t="n">
        <v>39</v>
      </c>
      <c r="F14" s="2" t="n">
        <v>73.9</v>
      </c>
      <c r="G14" s="2" t="n">
        <v>44.6</v>
      </c>
      <c r="H14" s="2" t="n">
        <v>17.1</v>
      </c>
      <c r="I14" s="2" t="n">
        <v>64</v>
      </c>
    </row>
    <row r="15" customFormat="false" ht="15" hidden="false" customHeight="false" outlineLevel="0" collapsed="false">
      <c r="A15" s="2" t="n">
        <v>3</v>
      </c>
      <c r="B15" s="2" t="s">
        <v>23</v>
      </c>
      <c r="C15" s="2" t="n">
        <v>1</v>
      </c>
      <c r="D15" s="2" t="s">
        <v>43</v>
      </c>
      <c r="E15" s="2" t="n">
        <v>41</v>
      </c>
      <c r="F15" s="2" t="n">
        <v>74.5</v>
      </c>
      <c r="G15" s="2" t="n">
        <v>46.6</v>
      </c>
      <c r="H15" s="2" t="n">
        <v>20.4</v>
      </c>
      <c r="I15" s="2" t="n">
        <v>64.2</v>
      </c>
    </row>
    <row r="16" customFormat="false" ht="15" hidden="false" customHeight="false" outlineLevel="0" collapsed="false">
      <c r="A16" s="2" t="n">
        <v>4</v>
      </c>
      <c r="B16" s="2" t="s">
        <v>23</v>
      </c>
      <c r="C16" s="2" t="n">
        <v>1</v>
      </c>
      <c r="D16" s="2" t="s">
        <v>43</v>
      </c>
      <c r="E16" s="2" t="n">
        <v>479</v>
      </c>
      <c r="F16" s="2" t="n">
        <v>73.9</v>
      </c>
      <c r="G16" s="2" t="n">
        <v>44.7</v>
      </c>
      <c r="H16" s="2" t="n">
        <v>17.3</v>
      </c>
      <c r="I16" s="2" t="n">
        <v>63.9</v>
      </c>
    </row>
    <row r="17" customFormat="false" ht="15" hidden="false" customHeight="false" outlineLevel="0" collapsed="false">
      <c r="A17" s="2" t="n">
        <v>5</v>
      </c>
      <c r="B17" s="2" t="s">
        <v>23</v>
      </c>
      <c r="C17" s="2" t="n">
        <v>1</v>
      </c>
      <c r="D17" s="2" t="s">
        <v>43</v>
      </c>
      <c r="E17" s="2" t="n">
        <v>347</v>
      </c>
      <c r="F17" s="2" t="n">
        <v>73.7</v>
      </c>
      <c r="G17" s="2" t="n">
        <v>44.4</v>
      </c>
      <c r="H17" s="2" t="n">
        <v>17.3</v>
      </c>
      <c r="I17" s="2" t="n">
        <v>63.9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8" activeCellId="0" sqref="C8"/>
    </sheetView>
  </sheetViews>
  <sheetFormatPr defaultColWidth="11.42578125" defaultRowHeight="15" zeroHeight="false" outlineLevelRow="0" outlineLevelCol="0"/>
  <cols>
    <col collapsed="false" customWidth="true" hidden="false" outlineLevel="0" max="3" min="3" style="0" width="18.42"/>
    <col collapsed="false" customWidth="true" hidden="false" outlineLevel="0" max="4" min="4" style="0" width="11.71"/>
    <col collapsed="false" customWidth="true" hidden="false" outlineLevel="0" max="5" min="5" style="0" width="12"/>
    <col collapsed="false" customWidth="true" hidden="false" outlineLevel="0" max="6" min="6" style="0" width="13.71"/>
    <col collapsed="false" customWidth="true" hidden="false" outlineLevel="0" max="8" min="7" style="0" width="13.14"/>
    <col collapsed="false" customWidth="true" hidden="false" outlineLevel="0" max="10" min="10" style="0" width="22"/>
  </cols>
  <sheetData>
    <row r="2" customFormat="false" ht="45" hidden="false" customHeight="true" outlineLevel="0" collapsed="false">
      <c r="A2" s="3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4" t="s">
        <v>39</v>
      </c>
      <c r="G2" s="4" t="s">
        <v>40</v>
      </c>
      <c r="H2" s="4" t="s">
        <v>41</v>
      </c>
      <c r="I2" s="4" t="s">
        <v>42</v>
      </c>
      <c r="J2" s="4" t="s">
        <v>44</v>
      </c>
    </row>
    <row r="3" customFormat="false" ht="15" hidden="false" customHeight="false" outlineLevel="0" collapsed="false">
      <c r="A3" s="2" t="n">
        <v>1</v>
      </c>
      <c r="B3" s="2" t="s">
        <v>6</v>
      </c>
      <c r="C3" s="2" t="n">
        <v>1</v>
      </c>
      <c r="D3" s="2" t="n">
        <v>58</v>
      </c>
      <c r="E3" s="2" t="n">
        <v>47</v>
      </c>
      <c r="F3" s="2" t="n">
        <v>81.2</v>
      </c>
      <c r="G3" s="2" t="n">
        <v>68.6</v>
      </c>
      <c r="H3" s="2" t="n">
        <v>71.6</v>
      </c>
      <c r="I3" s="2" t="n">
        <v>53.6</v>
      </c>
    </row>
    <row r="4" customFormat="false" ht="15" hidden="false" customHeight="false" outlineLevel="0" collapsed="false">
      <c r="A4" s="2" t="n">
        <v>2</v>
      </c>
      <c r="B4" s="2" t="s">
        <v>6</v>
      </c>
      <c r="C4" s="2" t="n">
        <v>1</v>
      </c>
      <c r="D4" s="2" t="n">
        <v>138</v>
      </c>
      <c r="E4" s="2" t="n">
        <v>47</v>
      </c>
      <c r="F4" s="2" t="n">
        <v>80.7</v>
      </c>
      <c r="G4" s="2" t="n">
        <v>68.7</v>
      </c>
      <c r="H4" s="2" t="n">
        <v>71.6</v>
      </c>
      <c r="I4" s="2" t="n">
        <v>53.6</v>
      </c>
    </row>
    <row r="5" customFormat="false" ht="15" hidden="false" customHeight="false" outlineLevel="0" collapsed="false">
      <c r="A5" s="2" t="n">
        <v>3</v>
      </c>
      <c r="B5" s="2" t="s">
        <v>6</v>
      </c>
      <c r="C5" s="2" t="n">
        <v>1</v>
      </c>
      <c r="D5" s="2" t="n">
        <v>298</v>
      </c>
      <c r="E5" s="2" t="n">
        <v>43</v>
      </c>
      <c r="F5" s="2" t="n">
        <v>86.4</v>
      </c>
      <c r="G5" s="2" t="n">
        <v>68.8</v>
      </c>
      <c r="H5" s="2" t="n">
        <v>72.1</v>
      </c>
      <c r="I5" s="2" t="n">
        <v>53.7</v>
      </c>
    </row>
    <row r="6" customFormat="false" ht="15" hidden="false" customHeight="false" outlineLevel="0" collapsed="false">
      <c r="A6" s="2" t="n">
        <v>4</v>
      </c>
      <c r="B6" s="2" t="s">
        <v>6</v>
      </c>
      <c r="C6" s="2" t="n">
        <v>1</v>
      </c>
      <c r="D6" s="2" t="n">
        <v>623</v>
      </c>
      <c r="E6" s="2" t="n">
        <v>50</v>
      </c>
      <c r="F6" s="2" t="n">
        <v>79.6</v>
      </c>
      <c r="G6" s="2" t="n">
        <v>68.8</v>
      </c>
      <c r="H6" s="2" t="n">
        <v>71</v>
      </c>
      <c r="I6" s="2" t="n">
        <v>53.8</v>
      </c>
    </row>
    <row r="7" customFormat="false" ht="15" hidden="false" customHeight="false" outlineLevel="0" collapsed="false">
      <c r="A7" s="2" t="n">
        <v>5</v>
      </c>
      <c r="B7" s="2" t="s">
        <v>6</v>
      </c>
      <c r="C7" s="2" t="n">
        <v>1</v>
      </c>
      <c r="D7" s="2" t="n">
        <v>227</v>
      </c>
      <c r="E7" s="2" t="n">
        <v>52</v>
      </c>
      <c r="F7" s="2" t="n">
        <v>86.9</v>
      </c>
      <c r="G7" s="2" t="n">
        <v>65.5</v>
      </c>
      <c r="H7" s="2" t="n">
        <v>70</v>
      </c>
      <c r="I7" s="2" t="n">
        <v>53.8</v>
      </c>
    </row>
    <row r="8" customFormat="false" ht="15" hidden="false" customHeight="false" outlineLevel="0" collapsed="false">
      <c r="A8" s="2" t="n">
        <v>1</v>
      </c>
      <c r="B8" s="2" t="s">
        <v>11</v>
      </c>
      <c r="C8" s="2" t="n">
        <v>1</v>
      </c>
      <c r="D8" s="2" t="n">
        <v>54</v>
      </c>
      <c r="E8" s="2" t="n">
        <v>45</v>
      </c>
      <c r="F8" s="2" t="n">
        <v>83.8</v>
      </c>
      <c r="G8" s="2" t="n">
        <v>58</v>
      </c>
      <c r="H8" s="2" t="n">
        <v>69.9</v>
      </c>
      <c r="I8" s="2" t="n">
        <v>53.8</v>
      </c>
    </row>
    <row r="9" customFormat="false" ht="15" hidden="false" customHeight="false" outlineLevel="0" collapsed="false">
      <c r="A9" s="2" t="n">
        <v>2</v>
      </c>
      <c r="B9" s="2" t="s">
        <v>11</v>
      </c>
      <c r="C9" s="2" t="n">
        <v>0</v>
      </c>
      <c r="D9" s="2" t="n">
        <v>0</v>
      </c>
      <c r="E9" s="2" t="n">
        <v>0</v>
      </c>
      <c r="F9" s="2" t="n">
        <v>83.8</v>
      </c>
      <c r="G9" s="2" t="n">
        <v>62.5</v>
      </c>
      <c r="H9" s="2" t="n">
        <v>69.9</v>
      </c>
      <c r="I9" s="2" t="n">
        <v>53.7</v>
      </c>
    </row>
    <row r="10" customFormat="false" ht="15" hidden="false" customHeight="false" outlineLevel="0" collapsed="false">
      <c r="A10" s="2" t="n">
        <v>3</v>
      </c>
      <c r="B10" s="2" t="s">
        <v>11</v>
      </c>
      <c r="C10" s="2" t="n">
        <v>0</v>
      </c>
      <c r="D10" s="2" t="n">
        <v>0</v>
      </c>
      <c r="E10" s="2" t="n">
        <v>0</v>
      </c>
      <c r="F10" s="2" t="n">
        <v>84</v>
      </c>
      <c r="G10" s="2" t="n">
        <v>62.8</v>
      </c>
      <c r="H10" s="2" t="n">
        <v>69.9</v>
      </c>
      <c r="I10" s="2" t="n">
        <v>53.8</v>
      </c>
    </row>
    <row r="11" customFormat="false" ht="15" hidden="false" customHeight="false" outlineLevel="0" collapsed="false">
      <c r="A11" s="2" t="n">
        <v>4</v>
      </c>
      <c r="B11" s="2" t="s">
        <v>11</v>
      </c>
      <c r="C11" s="2" t="n">
        <v>0</v>
      </c>
      <c r="D11" s="2" t="n">
        <v>0</v>
      </c>
      <c r="E11" s="2" t="n">
        <v>0</v>
      </c>
      <c r="F11" s="2" t="n">
        <v>84.1</v>
      </c>
      <c r="G11" s="2" t="n">
        <v>62.7</v>
      </c>
      <c r="H11" s="2" t="n">
        <v>69.9</v>
      </c>
      <c r="I11" s="2" t="n">
        <v>52.8</v>
      </c>
    </row>
    <row r="12" customFormat="false" ht="15" hidden="false" customHeight="false" outlineLevel="0" collapsed="false">
      <c r="A12" s="2" t="n">
        <v>5</v>
      </c>
      <c r="B12" s="2" t="s">
        <v>11</v>
      </c>
      <c r="C12" s="2" t="n">
        <v>0</v>
      </c>
      <c r="D12" s="2" t="n">
        <v>0</v>
      </c>
      <c r="E12" s="2" t="n">
        <v>0</v>
      </c>
      <c r="F12" s="2" t="n">
        <v>84</v>
      </c>
      <c r="G12" s="2" t="n">
        <v>63.2</v>
      </c>
      <c r="H12" s="2" t="n">
        <v>69.8</v>
      </c>
      <c r="I12" s="2" t="n">
        <v>53.7</v>
      </c>
    </row>
    <row r="13" customFormat="false" ht="15" hidden="false" customHeight="false" outlineLevel="0" collapsed="false">
      <c r="A13" s="2" t="n">
        <v>1</v>
      </c>
      <c r="B13" s="2" t="s">
        <v>15</v>
      </c>
      <c r="C13" s="2" t="n">
        <v>1</v>
      </c>
      <c r="D13" s="2" t="n">
        <v>58</v>
      </c>
      <c r="E13" s="2" t="n">
        <v>58</v>
      </c>
      <c r="F13" s="2" t="n">
        <v>83.9</v>
      </c>
      <c r="G13" s="2" t="n">
        <v>68.9</v>
      </c>
      <c r="H13" s="2" t="n">
        <v>71.6</v>
      </c>
      <c r="I13" s="2" t="n">
        <v>53.6</v>
      </c>
    </row>
    <row r="14" customFormat="false" ht="15" hidden="false" customHeight="false" outlineLevel="0" collapsed="false">
      <c r="A14" s="2" t="n">
        <v>2</v>
      </c>
      <c r="B14" s="2" t="s">
        <v>15</v>
      </c>
      <c r="C14" s="2" t="n">
        <v>0</v>
      </c>
      <c r="D14" s="2" t="n">
        <v>0</v>
      </c>
      <c r="E14" s="2" t="n">
        <v>0</v>
      </c>
      <c r="F14" s="2" t="n">
        <v>83.7</v>
      </c>
      <c r="G14" s="2" t="n">
        <v>62.6</v>
      </c>
      <c r="H14" s="2" t="n">
        <v>69.9</v>
      </c>
      <c r="I14" s="2" t="n">
        <v>53.7</v>
      </c>
      <c r="J14" s="5" t="s">
        <v>45</v>
      </c>
    </row>
    <row r="15" customFormat="false" ht="15" hidden="false" customHeight="false" outlineLevel="0" collapsed="false">
      <c r="A15" s="2" t="n">
        <v>3</v>
      </c>
      <c r="B15" s="2" t="s">
        <v>15</v>
      </c>
      <c r="C15" s="2" t="n">
        <v>1</v>
      </c>
      <c r="D15" s="2" t="n">
        <v>42</v>
      </c>
      <c r="E15" s="2" t="n">
        <v>59</v>
      </c>
      <c r="F15" s="2" t="n">
        <v>83.6</v>
      </c>
      <c r="G15" s="2" t="n">
        <v>68.4</v>
      </c>
      <c r="H15" s="2" t="n">
        <v>71.7</v>
      </c>
      <c r="I15" s="2" t="n">
        <v>53.8</v>
      </c>
    </row>
    <row r="16" customFormat="false" ht="15" hidden="false" customHeight="false" outlineLevel="0" collapsed="false">
      <c r="A16" s="2" t="n">
        <v>4</v>
      </c>
      <c r="B16" s="2" t="s">
        <v>15</v>
      </c>
      <c r="C16" s="2" t="n">
        <v>1</v>
      </c>
      <c r="D16" s="2" t="n">
        <v>48</v>
      </c>
      <c r="E16" s="2" t="n">
        <v>54</v>
      </c>
      <c r="F16" s="2" t="n">
        <v>83.6</v>
      </c>
      <c r="G16" s="2" t="n">
        <v>68.6</v>
      </c>
      <c r="H16" s="2" t="n">
        <v>72</v>
      </c>
      <c r="I16" s="2" t="n">
        <v>53.7</v>
      </c>
    </row>
    <row r="17" customFormat="false" ht="15" hidden="false" customHeight="false" outlineLevel="0" collapsed="false">
      <c r="A17" s="2" t="n">
        <v>5</v>
      </c>
      <c r="B17" s="2" t="s">
        <v>15</v>
      </c>
      <c r="C17" s="2" t="n">
        <v>0</v>
      </c>
      <c r="D17" s="2" t="n">
        <v>0</v>
      </c>
      <c r="E17" s="2" t="n">
        <v>0</v>
      </c>
      <c r="F17" s="2" t="n">
        <v>83.9</v>
      </c>
      <c r="G17" s="2" t="n">
        <v>64.4</v>
      </c>
      <c r="H17" s="2" t="n">
        <v>70.4</v>
      </c>
      <c r="I17" s="2" t="n">
        <v>53.7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17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Q9" activeCellId="0" sqref="Q9"/>
    </sheetView>
  </sheetViews>
  <sheetFormatPr defaultColWidth="11.42578125" defaultRowHeight="15" zeroHeight="false" outlineLevelRow="0" outlineLevelCol="0"/>
  <cols>
    <col collapsed="false" customWidth="true" hidden="false" outlineLevel="0" max="3" min="3" style="0" width="18.42"/>
    <col collapsed="false" customWidth="true" hidden="false" outlineLevel="0" max="4" min="4" style="0" width="11.71"/>
    <col collapsed="false" customWidth="true" hidden="false" outlineLevel="0" max="5" min="5" style="0" width="12"/>
    <col collapsed="false" customWidth="true" hidden="false" outlineLevel="0" max="6" min="6" style="0" width="13.71"/>
    <col collapsed="false" customWidth="true" hidden="false" outlineLevel="0" max="8" min="7" style="0" width="13.14"/>
  </cols>
  <sheetData>
    <row r="2" customFormat="false" ht="45" hidden="false" customHeight="true" outlineLevel="0" collapsed="false">
      <c r="A2" s="3" t="s">
        <v>34</v>
      </c>
      <c r="B2" s="3" t="s">
        <v>35</v>
      </c>
      <c r="C2" s="3" t="s">
        <v>36</v>
      </c>
      <c r="D2" s="3" t="s">
        <v>37</v>
      </c>
      <c r="E2" s="3" t="s">
        <v>38</v>
      </c>
      <c r="F2" s="4" t="s">
        <v>39</v>
      </c>
      <c r="G2" s="4" t="s">
        <v>40</v>
      </c>
      <c r="H2" s="4" t="s">
        <v>41</v>
      </c>
      <c r="I2" s="4" t="s">
        <v>42</v>
      </c>
      <c r="J2" s="4" t="s">
        <v>46</v>
      </c>
      <c r="K2" s="4" t="s">
        <v>47</v>
      </c>
      <c r="L2" s="4" t="s">
        <v>48</v>
      </c>
      <c r="M2" s="4" t="s">
        <v>49</v>
      </c>
      <c r="N2" s="4" t="s">
        <v>50</v>
      </c>
      <c r="O2" s="4" t="s">
        <v>51</v>
      </c>
    </row>
    <row r="3" customFormat="false" ht="15" hidden="false" customHeight="false" outlineLevel="0" collapsed="false">
      <c r="A3" s="2" t="n">
        <v>1</v>
      </c>
      <c r="B3" s="2" t="s">
        <v>24</v>
      </c>
      <c r="C3" s="2" t="n">
        <v>0</v>
      </c>
      <c r="D3" s="2" t="n">
        <v>30</v>
      </c>
      <c r="E3" s="2" t="n">
        <v>38</v>
      </c>
      <c r="F3" s="2" t="n">
        <v>71.7</v>
      </c>
      <c r="G3" s="2" t="n">
        <v>69.6</v>
      </c>
      <c r="H3" s="2" t="n">
        <v>78.7</v>
      </c>
      <c r="I3" s="2" t="n">
        <v>58.7</v>
      </c>
      <c r="J3" s="2" t="n">
        <v>73.5</v>
      </c>
      <c r="K3" s="2" t="n">
        <v>69.1</v>
      </c>
      <c r="L3" s="2" t="n">
        <v>74.6</v>
      </c>
      <c r="M3" s="2" t="n">
        <v>69.6</v>
      </c>
      <c r="N3" s="2" t="n">
        <v>73.5</v>
      </c>
      <c r="O3" s="2" t="n">
        <v>68.7</v>
      </c>
    </row>
    <row r="4" customFormat="false" ht="15" hidden="false" customHeight="false" outlineLevel="0" collapsed="false">
      <c r="A4" s="2" t="n">
        <v>2</v>
      </c>
      <c r="B4" s="2" t="s">
        <v>24</v>
      </c>
      <c r="C4" s="2" t="n">
        <v>0</v>
      </c>
      <c r="D4" s="2" t="n">
        <v>35</v>
      </c>
      <c r="E4" s="2" t="n">
        <v>36</v>
      </c>
      <c r="F4" s="2" t="n">
        <v>72.8</v>
      </c>
      <c r="G4" s="2" t="n">
        <v>70</v>
      </c>
      <c r="H4" s="2" t="n">
        <v>78.5</v>
      </c>
      <c r="I4" s="2" t="n">
        <v>58.4</v>
      </c>
      <c r="J4" s="2" t="n">
        <v>77.6</v>
      </c>
      <c r="K4" s="2" t="n">
        <v>69.2</v>
      </c>
      <c r="L4" s="2" t="n">
        <v>78.2</v>
      </c>
      <c r="M4" s="2" t="n">
        <v>73.6</v>
      </c>
      <c r="N4" s="2" t="n">
        <v>77.6</v>
      </c>
      <c r="O4" s="2" t="n">
        <v>68.7</v>
      </c>
    </row>
    <row r="5" customFormat="false" ht="15" hidden="false" customHeight="false" outlineLevel="0" collapsed="false">
      <c r="A5" s="2" t="n">
        <v>3</v>
      </c>
      <c r="B5" s="2" t="s">
        <v>24</v>
      </c>
      <c r="C5" s="2" t="n">
        <v>0</v>
      </c>
      <c r="D5" s="2" t="n">
        <v>40</v>
      </c>
      <c r="E5" s="2" t="n">
        <v>37</v>
      </c>
      <c r="F5" s="2" t="n">
        <v>73.9</v>
      </c>
      <c r="G5" s="2" t="n">
        <v>69.8</v>
      </c>
      <c r="H5" s="2" t="n">
        <v>78.7</v>
      </c>
      <c r="I5" s="2" t="n">
        <v>58.6</v>
      </c>
      <c r="J5" s="2" t="n">
        <v>78.2</v>
      </c>
      <c r="K5" s="2" t="n">
        <v>69.3</v>
      </c>
      <c r="L5" s="2" t="n">
        <v>78.7</v>
      </c>
      <c r="M5" s="2" t="n">
        <v>72.6</v>
      </c>
      <c r="N5" s="2" t="n">
        <v>78.1</v>
      </c>
      <c r="O5" s="2" t="n">
        <v>68.7</v>
      </c>
    </row>
    <row r="6" customFormat="false" ht="15" hidden="false" customHeight="false" outlineLevel="0" collapsed="false">
      <c r="A6" s="2" t="n">
        <v>4</v>
      </c>
      <c r="B6" s="2" t="s">
        <v>24</v>
      </c>
      <c r="C6" s="2" t="n">
        <v>0</v>
      </c>
      <c r="D6" s="2" t="n">
        <v>38</v>
      </c>
      <c r="E6" s="2" t="n">
        <v>35</v>
      </c>
      <c r="F6" s="2" t="n">
        <v>71.9</v>
      </c>
      <c r="G6" s="2" t="n">
        <v>69.4</v>
      </c>
      <c r="H6" s="2" t="n">
        <v>78.7</v>
      </c>
      <c r="I6" s="2" t="n">
        <v>58.5</v>
      </c>
      <c r="J6" s="2" t="n">
        <v>73.3</v>
      </c>
      <c r="K6" s="2" t="n">
        <v>68.9</v>
      </c>
      <c r="L6" s="2" t="n">
        <v>74.2</v>
      </c>
      <c r="M6" s="2" t="n">
        <v>69.8</v>
      </c>
      <c r="N6" s="2" t="n">
        <v>73.4</v>
      </c>
      <c r="O6" s="2" t="n">
        <v>68.8</v>
      </c>
    </row>
    <row r="7" customFormat="false" ht="15" hidden="false" customHeight="false" outlineLevel="0" collapsed="false">
      <c r="A7" s="2" t="n">
        <v>5</v>
      </c>
      <c r="B7" s="2" t="s">
        <v>24</v>
      </c>
      <c r="C7" s="2" t="n">
        <v>0</v>
      </c>
      <c r="D7" s="2" t="n">
        <v>37</v>
      </c>
      <c r="E7" s="2" t="n">
        <v>39</v>
      </c>
      <c r="F7" s="2" t="n">
        <v>73.5</v>
      </c>
      <c r="G7" s="2" t="n">
        <v>69.8</v>
      </c>
      <c r="H7" s="2" t="n">
        <v>78.6</v>
      </c>
      <c r="I7" s="2" t="n">
        <v>58.6</v>
      </c>
      <c r="J7" s="2" t="n">
        <v>77.2</v>
      </c>
      <c r="K7" s="2" t="n">
        <v>69.2</v>
      </c>
      <c r="L7" s="2" t="n">
        <v>77.8</v>
      </c>
      <c r="M7" s="2" t="n">
        <v>73</v>
      </c>
      <c r="N7" s="2" t="n">
        <v>77.2</v>
      </c>
      <c r="O7" s="2" t="n">
        <v>68.8</v>
      </c>
    </row>
    <row r="8" customFormat="false" ht="15" hidden="false" customHeight="false" outlineLevel="0" collapsed="false">
      <c r="A8" s="2" t="n">
        <v>1</v>
      </c>
      <c r="B8" s="2" t="s">
        <v>28</v>
      </c>
      <c r="C8" s="2" t="n">
        <v>1</v>
      </c>
      <c r="D8" s="2" t="n">
        <v>30</v>
      </c>
      <c r="E8" s="2" t="n">
        <v>30</v>
      </c>
      <c r="F8" s="2" t="n">
        <v>62.5</v>
      </c>
      <c r="G8" s="2" t="n">
        <v>55.1</v>
      </c>
      <c r="H8" s="2" t="n">
        <v>78.4</v>
      </c>
      <c r="I8" s="2" t="n">
        <v>43.5</v>
      </c>
      <c r="J8" s="2" t="n">
        <v>63.7</v>
      </c>
      <c r="K8" s="2" t="n">
        <v>54</v>
      </c>
      <c r="L8" s="2" t="n">
        <v>64.9</v>
      </c>
      <c r="M8" s="2" t="n">
        <v>55.2</v>
      </c>
      <c r="N8" s="2" t="n">
        <v>63.9</v>
      </c>
      <c r="O8" s="2" t="n">
        <v>54.3</v>
      </c>
    </row>
    <row r="9" customFormat="false" ht="15" hidden="false" customHeight="false" outlineLevel="0" collapsed="false">
      <c r="A9" s="2" t="n">
        <v>2</v>
      </c>
      <c r="B9" s="2" t="s">
        <v>28</v>
      </c>
      <c r="C9" s="2" t="n">
        <v>1</v>
      </c>
      <c r="D9" s="2" t="n">
        <v>35</v>
      </c>
      <c r="E9" s="2" t="n">
        <v>36</v>
      </c>
      <c r="F9" s="2" t="n">
        <v>62.5</v>
      </c>
      <c r="G9" s="2" t="n">
        <v>55.2</v>
      </c>
      <c r="H9" s="2" t="n">
        <v>78.4</v>
      </c>
      <c r="I9" s="2" t="n">
        <v>43.6</v>
      </c>
      <c r="J9" s="2" t="n">
        <v>63.9</v>
      </c>
      <c r="K9" s="2" t="n">
        <v>54.4</v>
      </c>
      <c r="L9" s="2" t="n">
        <v>65</v>
      </c>
      <c r="M9" s="2" t="n">
        <v>55.2</v>
      </c>
      <c r="N9" s="2" t="n">
        <v>64</v>
      </c>
      <c r="O9" s="2" t="n">
        <v>54.4</v>
      </c>
    </row>
    <row r="10" customFormat="false" ht="15" hidden="false" customHeight="false" outlineLevel="0" collapsed="false">
      <c r="A10" s="2" t="n">
        <v>3</v>
      </c>
      <c r="B10" s="2" t="s">
        <v>28</v>
      </c>
      <c r="C10" s="2" t="n">
        <v>0</v>
      </c>
      <c r="D10" s="2" t="n">
        <v>38</v>
      </c>
      <c r="E10" s="2" t="n">
        <v>43</v>
      </c>
      <c r="F10" s="2" t="n">
        <v>62.6</v>
      </c>
      <c r="G10" s="2" t="n">
        <v>54.9</v>
      </c>
      <c r="H10" s="2" t="n">
        <v>78.5</v>
      </c>
      <c r="I10" s="2" t="n">
        <v>43.6</v>
      </c>
      <c r="J10" s="2" t="n">
        <v>63.7</v>
      </c>
      <c r="K10" s="2" t="n">
        <v>54.5</v>
      </c>
      <c r="L10" s="2" t="n">
        <v>65.2</v>
      </c>
      <c r="M10" s="2" t="n">
        <v>0</v>
      </c>
      <c r="N10" s="2" t="n">
        <v>63.6</v>
      </c>
      <c r="O10" s="2" t="n">
        <v>54.2</v>
      </c>
    </row>
    <row r="11" customFormat="false" ht="15" hidden="false" customHeight="false" outlineLevel="0" collapsed="false">
      <c r="A11" s="2" t="n">
        <v>4</v>
      </c>
      <c r="B11" s="2" t="s">
        <v>28</v>
      </c>
      <c r="C11" s="2" t="n">
        <v>0</v>
      </c>
      <c r="D11" s="2" t="n">
        <v>33</v>
      </c>
      <c r="E11" s="2" t="n">
        <v>34</v>
      </c>
      <c r="F11" s="2" t="n">
        <v>62.6</v>
      </c>
      <c r="G11" s="2" t="n">
        <v>55.1</v>
      </c>
      <c r="H11" s="2" t="n">
        <v>78.7</v>
      </c>
      <c r="I11" s="2" t="n">
        <v>43.5</v>
      </c>
      <c r="J11" s="2" t="n">
        <v>68</v>
      </c>
      <c r="K11" s="2" t="n">
        <v>54.2</v>
      </c>
      <c r="L11" s="2" t="n">
        <v>67.5</v>
      </c>
      <c r="M11" s="2" t="n">
        <v>57.7</v>
      </c>
      <c r="N11" s="2" t="n">
        <v>68</v>
      </c>
      <c r="O11" s="2" t="n">
        <v>54.7</v>
      </c>
    </row>
    <row r="12" customFormat="false" ht="15" hidden="false" customHeight="false" outlineLevel="0" collapsed="false">
      <c r="A12" s="2" t="n">
        <v>5</v>
      </c>
      <c r="B12" s="2" t="s">
        <v>28</v>
      </c>
      <c r="C12" s="2" t="n">
        <v>1</v>
      </c>
      <c r="D12" s="2" t="n">
        <v>37</v>
      </c>
      <c r="E12" s="2" t="n">
        <v>37</v>
      </c>
      <c r="F12" s="2" t="n">
        <v>64.3</v>
      </c>
      <c r="G12" s="2" t="n">
        <v>56.4</v>
      </c>
      <c r="H12" s="2" t="n">
        <v>78.7</v>
      </c>
      <c r="I12" s="2" t="n">
        <v>43.6</v>
      </c>
      <c r="J12" s="2" t="n">
        <v>68</v>
      </c>
      <c r="K12" s="2" t="n">
        <v>55.3</v>
      </c>
      <c r="L12" s="2" t="n">
        <v>68.6</v>
      </c>
      <c r="M12" s="2" t="n">
        <v>58.1</v>
      </c>
      <c r="N12" s="2" t="n">
        <v>68</v>
      </c>
      <c r="O12" s="2" t="n">
        <v>56.2</v>
      </c>
    </row>
    <row r="13" customFormat="false" ht="15" hidden="false" customHeight="false" outlineLevel="0" collapsed="false">
      <c r="A13" s="2" t="n">
        <v>1</v>
      </c>
      <c r="B13" s="2" t="s">
        <v>31</v>
      </c>
      <c r="C13" s="2" t="n">
        <v>0</v>
      </c>
      <c r="D13" s="2" t="n">
        <v>40</v>
      </c>
      <c r="E13" s="2" t="n">
        <v>44</v>
      </c>
      <c r="F13" s="2" t="n">
        <v>65.5</v>
      </c>
      <c r="G13" s="2" t="n">
        <v>60.9</v>
      </c>
      <c r="H13" s="2" t="n">
        <v>78.8</v>
      </c>
      <c r="I13" s="2" t="n">
        <v>48.6</v>
      </c>
      <c r="J13" s="2" t="n">
        <v>69.5</v>
      </c>
      <c r="K13" s="2" t="n">
        <v>59.3</v>
      </c>
      <c r="L13" s="2" t="n">
        <v>68.6</v>
      </c>
      <c r="M13" s="2" t="n">
        <v>63.9</v>
      </c>
      <c r="N13" s="2" t="n">
        <v>69.5</v>
      </c>
      <c r="O13" s="2" t="n">
        <v>60.3</v>
      </c>
    </row>
    <row r="14" customFormat="false" ht="15" hidden="false" customHeight="false" outlineLevel="0" collapsed="false">
      <c r="A14" s="2" t="n">
        <v>2</v>
      </c>
      <c r="B14" s="2" t="s">
        <v>31</v>
      </c>
      <c r="C14" s="2" t="n">
        <v>0</v>
      </c>
      <c r="D14" s="2" t="n">
        <v>43</v>
      </c>
      <c r="E14" s="2" t="n">
        <v>39</v>
      </c>
      <c r="F14" s="2" t="n">
        <v>62.6</v>
      </c>
      <c r="G14" s="2" t="n">
        <v>60.2</v>
      </c>
      <c r="H14" s="2" t="n">
        <v>78.7</v>
      </c>
      <c r="I14" s="2" t="n">
        <v>48.6</v>
      </c>
      <c r="J14" s="2" t="n">
        <v>64.6</v>
      </c>
      <c r="K14" s="2" t="n">
        <v>59.2</v>
      </c>
      <c r="L14" s="2" t="n">
        <v>66.4</v>
      </c>
      <c r="M14" s="2" t="n">
        <v>59.5</v>
      </c>
      <c r="N14" s="2" t="n">
        <v>65.1</v>
      </c>
      <c r="O14" s="2" t="n">
        <v>59</v>
      </c>
    </row>
    <row r="15" customFormat="false" ht="15" hidden="false" customHeight="false" outlineLevel="0" collapsed="false">
      <c r="A15" s="2" t="n">
        <v>3</v>
      </c>
      <c r="B15" s="2" t="s">
        <v>31</v>
      </c>
      <c r="C15" s="2" t="n">
        <v>0</v>
      </c>
      <c r="D15" s="2" t="n">
        <v>33</v>
      </c>
      <c r="E15" s="2" t="n">
        <v>38</v>
      </c>
      <c r="F15" s="2" t="n">
        <v>63.3</v>
      </c>
      <c r="G15" s="2" t="n">
        <v>59.7</v>
      </c>
      <c r="H15" s="2" t="n">
        <v>78.6</v>
      </c>
      <c r="I15" s="2" t="n">
        <v>48.6</v>
      </c>
      <c r="J15" s="2" t="n">
        <v>64.6</v>
      </c>
      <c r="K15" s="2" t="n">
        <v>59.3</v>
      </c>
      <c r="L15" s="2" t="n">
        <v>66.5</v>
      </c>
      <c r="M15" s="2" t="n">
        <v>59.4</v>
      </c>
      <c r="N15" s="2" t="n">
        <v>65.2</v>
      </c>
      <c r="O15" s="2" t="n">
        <v>58.9</v>
      </c>
    </row>
    <row r="16" customFormat="false" ht="15" hidden="false" customHeight="false" outlineLevel="0" collapsed="false">
      <c r="A16" s="2" t="n">
        <v>4</v>
      </c>
      <c r="B16" s="2" t="s">
        <v>31</v>
      </c>
      <c r="C16" s="2" t="n">
        <v>0</v>
      </c>
      <c r="D16" s="2" t="n">
        <v>30</v>
      </c>
      <c r="E16" s="2" t="n">
        <v>33</v>
      </c>
      <c r="F16" s="2" t="n">
        <v>65</v>
      </c>
      <c r="G16" s="2" t="n">
        <v>61</v>
      </c>
      <c r="H16" s="2" t="n">
        <v>78.6</v>
      </c>
      <c r="I16" s="2" t="n">
        <v>48.6</v>
      </c>
      <c r="J16" s="2" t="n">
        <v>68.9</v>
      </c>
      <c r="K16" s="2" t="n">
        <v>59.3</v>
      </c>
      <c r="L16" s="2" t="n">
        <v>69.7</v>
      </c>
      <c r="M16" s="2" t="n">
        <v>62.3</v>
      </c>
      <c r="N16" s="2" t="n">
        <v>69</v>
      </c>
      <c r="O16" s="2" t="n">
        <v>59.6</v>
      </c>
    </row>
    <row r="17" customFormat="false" ht="15" hidden="false" customHeight="false" outlineLevel="0" collapsed="false">
      <c r="A17" s="2" t="n">
        <v>5</v>
      </c>
      <c r="B17" s="2" t="s">
        <v>31</v>
      </c>
      <c r="C17" s="2" t="n">
        <v>0</v>
      </c>
      <c r="D17" s="2" t="n">
        <v>39</v>
      </c>
      <c r="E17" s="2" t="n">
        <v>51</v>
      </c>
      <c r="F17" s="2" t="n">
        <v>62.4</v>
      </c>
      <c r="G17" s="2" t="n">
        <v>61.2</v>
      </c>
      <c r="H17" s="2" t="n">
        <v>78.6</v>
      </c>
      <c r="I17" s="2" t="n">
        <v>48.7</v>
      </c>
      <c r="J17" s="2" t="n">
        <v>68.6</v>
      </c>
      <c r="K17" s="2" t="n">
        <v>59.3</v>
      </c>
      <c r="L17" s="2" t="n">
        <v>69.1</v>
      </c>
      <c r="M17" s="2" t="n">
        <v>63.6</v>
      </c>
      <c r="N17" s="2" t="n">
        <v>68.7</v>
      </c>
      <c r="O17" s="2" t="n">
        <v>59.6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O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15" min="3" style="0" width="12"/>
  </cols>
  <sheetData>
    <row r="1" customFormat="false" ht="15" hidden="false" customHeight="false" outlineLevel="0" collapsed="false">
      <c r="B1" s="6" t="s">
        <v>52</v>
      </c>
    </row>
    <row r="3" customFormat="false" ht="45" hidden="false" customHeight="true" outlineLevel="0" collapsed="false">
      <c r="B3" s="7" t="s">
        <v>2</v>
      </c>
      <c r="C3" s="7" t="s">
        <v>53</v>
      </c>
      <c r="D3" s="7" t="s">
        <v>54</v>
      </c>
      <c r="E3" s="7" t="s">
        <v>55</v>
      </c>
      <c r="F3" s="7" t="s">
        <v>56</v>
      </c>
      <c r="G3" s="7" t="s">
        <v>57</v>
      </c>
      <c r="H3" s="7" t="s">
        <v>58</v>
      </c>
      <c r="I3" s="7" t="s">
        <v>59</v>
      </c>
      <c r="J3" s="7" t="s">
        <v>60</v>
      </c>
      <c r="K3" s="7" t="s">
        <v>61</v>
      </c>
      <c r="L3" s="7" t="s">
        <v>62</v>
      </c>
      <c r="M3" s="7" t="s">
        <v>63</v>
      </c>
      <c r="N3" s="7" t="s">
        <v>64</v>
      </c>
      <c r="O3" s="7" t="s">
        <v>65</v>
      </c>
    </row>
    <row r="4" customFormat="false" ht="15" hidden="false" customHeight="false" outlineLevel="0" collapsed="false">
      <c r="B4" s="8" t="s">
        <v>6</v>
      </c>
      <c r="C4" s="9" t="n">
        <f aca="false">SUM(Test_Pinch!C3:C7)</f>
        <v>5</v>
      </c>
      <c r="D4" s="10" t="n">
        <f aca="false">AVERAGE(Test_Pinch!D3:D7)</f>
        <v>268.8</v>
      </c>
      <c r="E4" s="10" t="n">
        <f aca="false">STDEV(Test_Pinch!D3:D7)</f>
        <v>217.71701816808</v>
      </c>
      <c r="F4" s="10" t="n">
        <f aca="false">AVERAGE(Test_Pinch!E3:E7)</f>
        <v>47.8</v>
      </c>
      <c r="G4" s="10" t="n">
        <f aca="false">STDEV(Test_Pinch!E3:E7)</f>
        <v>3.42052627529741</v>
      </c>
      <c r="H4" s="10" t="n">
        <f aca="false">AVERAGE(Test_Pinch!F3:F7)</f>
        <v>82.96</v>
      </c>
      <c r="I4" s="10" t="n">
        <f aca="false">STDEV(Test_Pinch!F3:F7)</f>
        <v>3.42242604010664</v>
      </c>
      <c r="J4" s="10" t="n">
        <f aca="false">AVERAGE(Test_Pinch!G3:G7)</f>
        <v>68.08</v>
      </c>
      <c r="K4" s="10" t="n">
        <f aca="false">STDEV(Test_Pinch!G3:G7)</f>
        <v>1.44464528518249</v>
      </c>
      <c r="L4" s="10" t="n">
        <f aca="false">AVERAGE(Test_Pinch!H3:H7)</f>
        <v>71.26</v>
      </c>
      <c r="M4" s="10" t="n">
        <f aca="false">STDEV(Test_Pinch!H3:H7)</f>
        <v>0.804984471899922</v>
      </c>
      <c r="N4" s="10" t="n">
        <f aca="false">AVERAGE(Test_Pinch!I3:I7)</f>
        <v>53.7</v>
      </c>
      <c r="O4" s="10" t="n">
        <f aca="false">STDEV(Test_Pinch!I3:I7)</f>
        <v>0.0999999999999979</v>
      </c>
    </row>
    <row r="5" customFormat="false" ht="15" hidden="false" customHeight="false" outlineLevel="0" collapsed="false">
      <c r="B5" s="8" t="s">
        <v>11</v>
      </c>
      <c r="C5" s="9" t="n">
        <f aca="false">SUM(Test_Pinch!C8:C12)</f>
        <v>1</v>
      </c>
      <c r="D5" s="10" t="n">
        <f aca="false">AVERAGE(Test_Pinch!D8:D12)</f>
        <v>10.8</v>
      </c>
      <c r="E5" s="10" t="n">
        <f aca="false">STDEV(Test_Pinch!D8:D12)</f>
        <v>24.1495341569977</v>
      </c>
      <c r="F5" s="10" t="n">
        <f aca="false">AVERAGE(Test_Pinch!E8:E12)</f>
        <v>9</v>
      </c>
      <c r="G5" s="10" t="n">
        <f aca="false">STDEV(Test_Pinch!E8:E12)</f>
        <v>20.1246117974981</v>
      </c>
      <c r="H5" s="10" t="n">
        <f aca="false">AVERAGE(Test_Pinch!F8:F12)</f>
        <v>83.94</v>
      </c>
      <c r="I5" s="10" t="n">
        <f aca="false">STDEV(Test_Pinch!F8:F12)</f>
        <v>0.134164078649987</v>
      </c>
      <c r="J5" s="10" t="n">
        <f aca="false">AVERAGE(Test_Pinch!G8:G12)</f>
        <v>61.84</v>
      </c>
      <c r="K5" s="10" t="n">
        <f aca="false">STDEV(Test_Pinch!G8:G12)</f>
        <v>2.16171228427837</v>
      </c>
      <c r="L5" s="10" t="n">
        <f aca="false">AVERAGE(Test_Pinch!H8:H12)</f>
        <v>69.88</v>
      </c>
      <c r="M5" s="10" t="n">
        <f aca="false">STDEV(Test_Pinch!H8:H12)</f>
        <v>0.0447213595499996</v>
      </c>
      <c r="N5" s="10" t="n">
        <f aca="false">AVERAGE(Test_Pinch!I8:I12)</f>
        <v>53.56</v>
      </c>
      <c r="O5" s="10" t="n">
        <f aca="false">STDEV(Test_Pinch!I8:I12)</f>
        <v>0.42778499272415</v>
      </c>
    </row>
    <row r="6" customFormat="false" ht="15" hidden="false" customHeight="false" outlineLevel="0" collapsed="false">
      <c r="B6" s="8" t="s">
        <v>15</v>
      </c>
      <c r="C6" s="9" t="n">
        <f aca="false">SUM(Test_Pinch!C13:C17)</f>
        <v>3</v>
      </c>
      <c r="D6" s="10" t="n">
        <f aca="false">AVERAGE(Test_Pinch!D13:D17)</f>
        <v>29.6</v>
      </c>
      <c r="E6" s="10" t="n">
        <f aca="false">STDEV(Test_Pinch!D13:D17)</f>
        <v>27.6188341535265</v>
      </c>
      <c r="F6" s="10" t="n">
        <f aca="false">AVERAGE(Test_Pinch!E13:E17)</f>
        <v>34.2</v>
      </c>
      <c r="G6" s="10" t="n">
        <f aca="false">STDEV(Test_Pinch!E13:E17)</f>
        <v>31.2761890261585</v>
      </c>
      <c r="H6" s="10" t="n">
        <f aca="false">AVERAGE(Test_Pinch!F13:F17)</f>
        <v>83.74</v>
      </c>
      <c r="I6" s="10" t="n">
        <f aca="false">STDEV(Test_Pinch!F13:F17)</f>
        <v>0.151657508881036</v>
      </c>
      <c r="J6" s="10" t="n">
        <f aca="false">AVERAGE(Test_Pinch!G13:G17)</f>
        <v>66.58</v>
      </c>
      <c r="K6" s="10" t="n">
        <f aca="false">STDEV(Test_Pinch!G13:G17)</f>
        <v>2.88825206656206</v>
      </c>
      <c r="L6" s="10" t="n">
        <f aca="false">AVERAGE(Test_Pinch!H13:H17)</f>
        <v>71.12</v>
      </c>
      <c r="M6" s="10" t="n">
        <f aca="false">STDEV(Test_Pinch!H13:H17)</f>
        <v>0.914877040918611</v>
      </c>
      <c r="N6" s="10" t="n">
        <f aca="false">AVERAGE(Test_Pinch!I13:I17)</f>
        <v>53.7</v>
      </c>
      <c r="O6" s="10" t="n">
        <f aca="false">STDEV(Test_Pinch!I13:I17)</f>
        <v>0.0707106781186533</v>
      </c>
    </row>
    <row r="7" customFormat="false" ht="15" hidden="false" customHeight="false" outlineLevel="0" collapsed="false">
      <c r="B7" s="7" t="s">
        <v>66</v>
      </c>
      <c r="C7" s="11" t="n">
        <f aca="false">SUM(C4:C6)</f>
        <v>9</v>
      </c>
    </row>
    <row r="8" customFormat="false" ht="15" hidden="false" customHeight="false" outlineLevel="0" collapsed="false">
      <c r="B8" s="8" t="s">
        <v>18</v>
      </c>
      <c r="C8" s="9" t="n">
        <f aca="false">SUM(Test_Lateral!C3:C7)</f>
        <v>5</v>
      </c>
      <c r="D8" s="8" t="s">
        <v>67</v>
      </c>
      <c r="E8" s="8" t="s">
        <v>67</v>
      </c>
      <c r="F8" s="10" t="n">
        <f aca="false">AVERAGE(Test_Lateral!E3:E7)</f>
        <v>117.8</v>
      </c>
      <c r="G8" s="10" t="n">
        <f aca="false">STDEV(Test_Lateral!E3:E7)</f>
        <v>111.365165110101</v>
      </c>
      <c r="H8" s="10" t="n">
        <f aca="false">AVERAGE(Test_Lateral!F3:F7)</f>
        <v>73.9</v>
      </c>
      <c r="I8" s="10" t="n">
        <f aca="false">STDEV(Test_Lateral!F3:F7)</f>
        <v>0.100000000000001</v>
      </c>
      <c r="J8" s="10" t="n">
        <f aca="false">AVERAGE(Test_Lateral!G3:G7)</f>
        <v>45.16</v>
      </c>
      <c r="K8" s="10" t="n">
        <f aca="false">STDEV(Test_Lateral!G3:G7)</f>
        <v>1.25419296760905</v>
      </c>
      <c r="L8" s="10" t="n">
        <f aca="false">AVERAGE(Test_Lateral!H3:H7)</f>
        <v>17.88</v>
      </c>
      <c r="M8" s="10" t="n">
        <f aca="false">STDEV(Test_Lateral!H3:H7)</f>
        <v>1.52216950435883</v>
      </c>
      <c r="N8" s="10" t="n">
        <f aca="false">AVERAGE(Test_Lateral!I3:I7)</f>
        <v>64.64</v>
      </c>
      <c r="O8" s="10" t="n">
        <f aca="false">STDEV(Test_Lateral!I3:I7)</f>
        <v>0.602494813255681</v>
      </c>
    </row>
    <row r="9" customFormat="false" ht="15" hidden="false" customHeight="false" outlineLevel="0" collapsed="false">
      <c r="B9" s="8" t="s">
        <v>22</v>
      </c>
      <c r="C9" s="9" t="n">
        <f aca="false">SUM(Test_Lateral!C8:C12)</f>
        <v>5</v>
      </c>
      <c r="D9" s="8" t="s">
        <v>67</v>
      </c>
      <c r="E9" s="8" t="s">
        <v>67</v>
      </c>
      <c r="F9" s="10" t="n">
        <f aca="false">AVERAGE(Test_Lateral!E8:E12)</f>
        <v>39.6</v>
      </c>
      <c r="G9" s="10" t="n">
        <f aca="false">STDEV(Test_Lateral!E8:E12)</f>
        <v>4.92950301754649</v>
      </c>
      <c r="H9" s="10" t="n">
        <f aca="false">AVERAGE(Test_Lateral!F8:F12)</f>
        <v>73.88</v>
      </c>
      <c r="I9" s="10" t="n">
        <f aca="false">STDEV(Test_Lateral!F8:F12)</f>
        <v>0.192353840616715</v>
      </c>
      <c r="J9" s="10" t="n">
        <f aca="false">AVERAGE(Test_Lateral!G8:G12)</f>
        <v>45.46</v>
      </c>
      <c r="K9" s="10" t="n">
        <f aca="false">STDEV(Test_Lateral!G8:G12)</f>
        <v>1.26609636284131</v>
      </c>
      <c r="L9" s="10" t="n">
        <f aca="false">AVERAGE(Test_Lateral!H8:H12)</f>
        <v>18.46</v>
      </c>
      <c r="M9" s="10" t="n">
        <f aca="false">STDEV(Test_Lateral!H8:H12)</f>
        <v>1.82290976189169</v>
      </c>
      <c r="N9" s="10" t="n">
        <f aca="false">AVERAGE(Test_Lateral!I8:I12)</f>
        <v>68.12</v>
      </c>
      <c r="O9" s="10" t="n">
        <f aca="false">STDEV(Test_Lateral!I8:I12)</f>
        <v>0.349284983931459</v>
      </c>
    </row>
    <row r="10" customFormat="false" ht="15" hidden="false" customHeight="false" outlineLevel="0" collapsed="false">
      <c r="B10" s="8" t="s">
        <v>23</v>
      </c>
      <c r="C10" s="9" t="n">
        <f aca="false">SUM(Test_Lateral!C13:C17)</f>
        <v>5</v>
      </c>
      <c r="D10" s="8" t="s">
        <v>67</v>
      </c>
      <c r="E10" s="8" t="s">
        <v>67</v>
      </c>
      <c r="F10" s="10" t="n">
        <f aca="false">AVERAGE(Test_Lateral!E13:E17)</f>
        <v>189.4</v>
      </c>
      <c r="G10" s="10" t="n">
        <f aca="false">STDEV(Test_Lateral!E13:E17)</f>
        <v>209.386723552378</v>
      </c>
      <c r="H10" s="10" t="n">
        <f aca="false">AVERAGE(Test_Lateral!F13:F17)</f>
        <v>74</v>
      </c>
      <c r="I10" s="10" t="n">
        <f aca="false">STDEV(Test_Lateral!F13:F17)</f>
        <v>0.299999999999998</v>
      </c>
      <c r="J10" s="10" t="n">
        <f aca="false">AVERAGE(Test_Lateral!G13:G17)</f>
        <v>45.56</v>
      </c>
      <c r="K10" s="10" t="n">
        <f aca="false">STDEV(Test_Lateral!G13:G17)</f>
        <v>1.40107101889947</v>
      </c>
      <c r="L10" s="10" t="n">
        <f aca="false">AVERAGE(Test_Lateral!H13:H17)</f>
        <v>18.58</v>
      </c>
      <c r="M10" s="10" t="n">
        <f aca="false">STDEV(Test_Lateral!H13:H17)</f>
        <v>1.85121581669993</v>
      </c>
      <c r="N10" s="10" t="n">
        <f aca="false">AVERAGE(Test_Lateral!I13:I17)</f>
        <v>63.98</v>
      </c>
      <c r="O10" s="10" t="n">
        <f aca="false">STDEV(Test_Lateral!I13:I17)</f>
        <v>0.130384048104055</v>
      </c>
    </row>
    <row r="11" customFormat="false" ht="15" hidden="false" customHeight="false" outlineLevel="0" collapsed="false">
      <c r="B11" s="7" t="s">
        <v>68</v>
      </c>
      <c r="C11" s="11" t="n">
        <f aca="false">SUM(C8:C10)</f>
        <v>15</v>
      </c>
    </row>
    <row r="12" customFormat="false" ht="15" hidden="false" customHeight="false" outlineLevel="0" collapsed="false">
      <c r="B12" s="8" t="s">
        <v>24</v>
      </c>
      <c r="C12" s="9" t="n">
        <f aca="false">SUM(Test_Cylindrical!C3:C7)</f>
        <v>0</v>
      </c>
      <c r="D12" s="10" t="n">
        <f aca="false">AVERAGE(Test_Cylindrical!D3:D7)</f>
        <v>36</v>
      </c>
      <c r="E12" s="10" t="n">
        <f aca="false">STDEV(Test_Cylindrical!D3:D7)</f>
        <v>3.80788655293195</v>
      </c>
      <c r="F12" s="10" t="n">
        <f aca="false">AVERAGE(Test_Cylindrical!E3:E7)</f>
        <v>37</v>
      </c>
      <c r="G12" s="10" t="n">
        <f aca="false">STDEV(Test_Cylindrical!E3:E7)</f>
        <v>1.58113883008419</v>
      </c>
      <c r="H12" s="10" t="n">
        <f aca="false">AVERAGE(Test_Cylindrical!F3:F7)</f>
        <v>72.76</v>
      </c>
      <c r="I12" s="10" t="n">
        <f aca="false">STDEV(Test_Cylindrical!F3:F7)</f>
        <v>0.963327566303383</v>
      </c>
      <c r="J12" s="10" t="n">
        <f aca="false">AVERAGE(Test_Cylindrical!G3:G7)</f>
        <v>69.72</v>
      </c>
      <c r="K12" s="10" t="n">
        <f aca="false">STDEV(Test_Cylindrical!G3:G7)</f>
        <v>0.228035085019826</v>
      </c>
      <c r="L12" s="10" t="n">
        <f aca="false">AVERAGE(Test_Cylindrical!H3:H7)</f>
        <v>78.64</v>
      </c>
      <c r="M12" s="10" t="n">
        <f aca="false">STDEV(Test_Cylindrical!H3:H7)</f>
        <v>0.0894427190999937</v>
      </c>
      <c r="N12" s="10" t="n">
        <f aca="false">AVERAGE(Test_Cylindrical!I3:I7)</f>
        <v>58.56</v>
      </c>
      <c r="O12" s="10" t="n">
        <f aca="false">STDEV(Test_Cylindrical!I3:I7)</f>
        <v>0.114017542509915</v>
      </c>
    </row>
    <row r="13" customFormat="false" ht="15" hidden="false" customHeight="false" outlineLevel="0" collapsed="false">
      <c r="B13" s="8" t="s">
        <v>28</v>
      </c>
      <c r="C13" s="9" t="n">
        <f aca="false">SUM(Test_Cylindrical!C8:C12)</f>
        <v>3</v>
      </c>
      <c r="D13" s="10" t="n">
        <f aca="false">AVERAGE(Test_Cylindrical!D8:D12)</f>
        <v>34.6</v>
      </c>
      <c r="E13" s="10" t="n">
        <f aca="false">STDEV(Test_Cylindrical!D8:D12)</f>
        <v>3.20936130717624</v>
      </c>
      <c r="F13" s="10" t="n">
        <f aca="false">AVERAGE(Test_Cylindrical!E8:E12)</f>
        <v>36</v>
      </c>
      <c r="G13" s="10" t="n">
        <f aca="false">STDEV(Test_Cylindrical!E8:E12)</f>
        <v>4.74341649025257</v>
      </c>
      <c r="H13" s="10" t="n">
        <f aca="false">AVERAGE(Test_Cylindrical!F8:F12)</f>
        <v>62.9</v>
      </c>
      <c r="I13" s="10" t="n">
        <f aca="false">STDEV(Test_Cylindrical!F8:F12)</f>
        <v>0.784219357067905</v>
      </c>
      <c r="J13" s="10" t="n">
        <f aca="false">AVERAGE(Test_Cylindrical!G8:G12)</f>
        <v>55.34</v>
      </c>
      <c r="K13" s="10" t="n">
        <f aca="false">STDEV(Test_Cylindrical!G8:G12)</f>
        <v>0.602494813255682</v>
      </c>
      <c r="L13" s="10" t="n">
        <f aca="false">AVERAGE(Test_Cylindrical!H8:H12)</f>
        <v>78.54</v>
      </c>
      <c r="M13" s="10" t="n">
        <f aca="false">STDEV(Test_Cylindrical!H8:H12)</f>
        <v>0.15165750888103</v>
      </c>
      <c r="N13" s="10" t="n">
        <f aca="false">AVERAGE(Test_Cylindrical!I8:I12)</f>
        <v>43.56</v>
      </c>
      <c r="O13" s="10" t="n">
        <f aca="false">STDEV(Test_Cylindrical!I8:I12)</f>
        <v>0.0547722557505174</v>
      </c>
    </row>
    <row r="14" customFormat="false" ht="15" hidden="false" customHeight="false" outlineLevel="0" collapsed="false">
      <c r="B14" s="8" t="s">
        <v>31</v>
      </c>
      <c r="C14" s="9" t="n">
        <f aca="false">SUM(Test_Cylindrical!C13:C17)</f>
        <v>0</v>
      </c>
      <c r="D14" s="10" t="n">
        <f aca="false">AVERAGE(Test_Cylindrical!D13:D17)</f>
        <v>37</v>
      </c>
      <c r="E14" s="10" t="n">
        <f aca="false">STDEV(Test_Cylindrical!D13:D17)</f>
        <v>5.33853912601566</v>
      </c>
      <c r="F14" s="10" t="n">
        <f aca="false">AVERAGE(Test_Cylindrical!E13:E17)</f>
        <v>41</v>
      </c>
      <c r="G14" s="10" t="n">
        <f aca="false">STDEV(Test_Cylindrical!E13:E17)</f>
        <v>6.81909084849293</v>
      </c>
      <c r="H14" s="10" t="n">
        <f aca="false">AVERAGE(Test_Cylindrical!F13:F17)</f>
        <v>63.76</v>
      </c>
      <c r="I14" s="10" t="n">
        <f aca="false">STDEV(Test_Cylindrical!F13:F17)</f>
        <v>1.41173651932646</v>
      </c>
      <c r="J14" s="10" t="n">
        <f aca="false">AVERAGE(Test_Cylindrical!G13:G17)</f>
        <v>60.6</v>
      </c>
      <c r="K14" s="10" t="n">
        <f aca="false">STDEV(Test_Cylindrical!G13:G17)</f>
        <v>0.628490254498826</v>
      </c>
      <c r="L14" s="10" t="n">
        <f aca="false">AVERAGE(Test_Cylindrical!H13:H17)</f>
        <v>78.66</v>
      </c>
      <c r="M14" s="10" t="n">
        <f aca="false">STDEV(Test_Cylindrical!H13:H17)</f>
        <v>0.0894427190999937</v>
      </c>
      <c r="N14" s="10" t="n">
        <f aca="false">AVERAGE(Test_Cylindrical!I13:I17)</f>
        <v>48.62</v>
      </c>
      <c r="O14" s="10" t="n">
        <f aca="false">STDEV(Test_Cylindrical!I13:I17)</f>
        <v>0.0447213595499964</v>
      </c>
    </row>
    <row r="15" customFormat="false" ht="15" hidden="false" customHeight="false" outlineLevel="0" collapsed="false">
      <c r="B15" s="7" t="s">
        <v>69</v>
      </c>
      <c r="C15" s="11" t="n">
        <f aca="false">SUM(C12:C14)</f>
        <v>3</v>
      </c>
    </row>
    <row r="17" customFormat="false" ht="15" hidden="false" customHeight="false" outlineLevel="0" collapsed="false">
      <c r="B17" s="6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2026-06-29T13:23:33Z</dcterms:created>
  <dc:creator>Luis Felipe Muñoz Sepulveda</dc:creator>
  <dc:description/>
  <dc:language>en-US</dc:language>
  <cp:lastModifiedBy>Luis Felipe Muñoz Sepulveda</cp:lastModifiedBy>
  <dcterms:modified xsi:type="dcterms:W3CDTF">2026-10-23T01:28:17Z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