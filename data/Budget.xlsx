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<sst xmlns="http://schemas.openxmlformats.org/spreadsheetml/2006/main" count="110" uniqueCount="66">
  <si>
    <t xml:space="preserve">Materials and equipment budget (paper Table VI)</t>
  </si>
  <si>
    <t xml:space="preserve">Costs are line totals in Chilean pesos (CLP) at reference market prices. Blue values are inputs; black values are formulas.</t>
  </si>
  <si>
    <t xml:space="preserve">Category</t>
  </si>
  <si>
    <t xml:space="preserve">Item</t>
  </si>
  <si>
    <t xml:space="preserve">Quantity</t>
  </si>
  <si>
    <t xml:space="preserve">Unit</t>
  </si>
  <si>
    <t xml:space="preserve">Cost [CLP]</t>
  </si>
  <si>
    <t xml:space="preserve">Provided by university</t>
  </si>
  <si>
    <t xml:space="preserve">Source</t>
  </si>
  <si>
    <t xml:space="preserve">Actuation</t>
  </si>
  <si>
    <t xml:space="preserve">N20 gearmotors</t>
  </si>
  <si>
    <t xml:space="preserve">u</t>
  </si>
  <si>
    <t xml:space="preserve">No</t>
  </si>
  <si>
    <t xml:space="preserve">https://es.aliexpress.com/item/1005006213216702.html</t>
  </si>
  <si>
    <t xml:space="preserve">Motor drivers</t>
  </si>
  <si>
    <t xml:space="preserve">https://www.mechatronicstore.cl/controlador-driver-motor-tb6612fng/</t>
  </si>
  <si>
    <t xml:space="preserve">Mechanical transmission</t>
  </si>
  <si>
    <t xml:space="preserve">Bevel gears, M0.5 13T</t>
  </si>
  <si>
    <t xml:space="preserve">https://es.aliexpress.com/item/1005004974031892.html</t>
  </si>
  <si>
    <t xml:space="preserve">Bevel gears, M0.5 25T</t>
  </si>
  <si>
    <t xml:space="preserve">M3 screws</t>
  </si>
  <si>
    <t xml:space="preserve">https://www.mechatronicstore.cl/20-piezas-tornillo-m3-con-tuerca/</t>
  </si>
  <si>
    <t xml:space="preserve">Control and electronics</t>
  </si>
  <si>
    <t xml:space="preserve">STM32 controller board</t>
  </si>
  <si>
    <t xml:space="preserve">https://cl.rsdelivers.com/product/stmicroelectronics/nucleo-f767zi/placa-de-desarrollo-stm32-nucleo-144-de-mcu-con-m7/1231052</t>
  </si>
  <si>
    <t xml:space="preserve">Prototyping board</t>
  </si>
  <si>
    <t xml:space="preserve">https://www.mechatronicstore.cl/placa-punto-a-punto-pcb-doble-cara-faz-30x70mm/</t>
  </si>
  <si>
    <t xml:space="preserve">PCB copper board</t>
  </si>
  <si>
    <t xml:space="preserve">Yes</t>
  </si>
  <si>
    <t xml:space="preserve">https://www.mechatronicstore.cl/placa-de-cobre-pcb-10x15cm-virgen/</t>
  </si>
  <si>
    <t xml:space="preserve">Sensors</t>
  </si>
  <si>
    <t xml:space="preserve">FSRs</t>
  </si>
  <si>
    <t xml:space="preserve">https://www.mechatronicstore.cl/sensor-de-fuerza-resistivo/</t>
  </si>
  <si>
    <t xml:space="preserve">Structure</t>
  </si>
  <si>
    <t xml:space="preserve">Filament purchase units</t>
  </si>
  <si>
    <t xml:space="preserve">https://www.mechatronicstore.cl/filamento-pla-sunlu-mate-1kg-1-75mm-colores/</t>
  </si>
  <si>
    <t xml:space="preserve">Power supply</t>
  </si>
  <si>
    <t xml:space="preserve">5 V, 10 A power supply</t>
  </si>
  <si>
    <t xml:space="preserve">https://www.mechatronicstore.cl/fuente-de-poder-switching-5v-10a-dc/</t>
  </si>
  <si>
    <t xml:space="preserve">Laboratory power supply</t>
  </si>
  <si>
    <t xml:space="preserve">https://www.mechatronicstore.cl/fuente-de-alimentacion-pro-30v-5a-volture-accesorios/</t>
  </si>
  <si>
    <t xml:space="preserve">Wiring and connectors</t>
  </si>
  <si>
    <t xml:space="preserve">UTP cable</t>
  </si>
  <si>
    <t xml:space="preserve">m</t>
  </si>
  <si>
    <t xml:space="preserve">https://www.mechatronicstore.cl/cable-red-utp-cat5e-negro-uso-exterior/</t>
  </si>
  <si>
    <t xml:space="preserve">Shielded cable</t>
  </si>
  <si>
    <t xml:space="preserve">https://www.mechatronicstore.cl/cable-apantallado-5-hilos-24wg/</t>
  </si>
  <si>
    <t xml:space="preserve">Two-pin terminals</t>
  </si>
  <si>
    <t xml:space="preserve">https://www.mechatronicstore.cl/conector-terminal-2-pines-con-tornillo-kf301-2/</t>
  </si>
  <si>
    <t xml:space="preserve">Three-pin terminals</t>
  </si>
  <si>
    <t xml:space="preserve">https://www.mechatronicstore.cl/terminal-3-pines-conector-5mm-screw/</t>
  </si>
  <si>
    <t xml:space="preserve">Jumper wires, 30 cm</t>
  </si>
  <si>
    <t xml:space="preserve">https://www.mechatronicstore.cl/cables-macho-macho-para-arduino/</t>
  </si>
  <si>
    <t xml:space="preserve">Jumper wires, 20 cm</t>
  </si>
  <si>
    <t xml:space="preserve">https://www.mechatronicstore.cl/cable-macho-macho-40-piezas-20cm/</t>
  </si>
  <si>
    <t xml:space="preserve">Total</t>
  </si>
  <si>
    <t xml:space="preserve">Provided by university (power supplies and PCB material)</t>
  </si>
  <si>
    <t xml:space="preserve">Remaining materials expenditure</t>
  </si>
  <si>
    <t xml:space="preserve">Estimated printing electricity</t>
  </si>
  <si>
    <t xml:space="preserve">Total including printing electricity [CLP]</t>
  </si>
  <si>
    <t xml:space="preserve">Reference conversion [CLP/USD]</t>
  </si>
  <si>
    <t xml:space="preserve">Total [USD]</t>
  </si>
  <si>
    <t xml:space="preserve">Notes (paper Table VI):</t>
  </si>
  <si>
    <t xml:space="preserve">The evaluated hand used ten gearmotors and two FSRs. The budget includes one spare motor, spare gears and three additional FSRs.</t>
  </si>
  <si>
    <t xml:space="preserve">Filament quantities refer to purchases, not measured printed-part mass.</t>
  </si>
  <si>
    <t xml:space="preserve">The estimate excludes engineering development time and charges for the use of university manufacturing equipment.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</si>
</sst>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s.aliexpress.com/item/1005006213216702.html" TargetMode="External"/><Relationship Id="rId2" Type="http://schemas.openxmlformats.org/officeDocument/2006/relationships/hyperlink" Target="https://www.mechatronicstore.cl/controlador-driver-motor-tb6612fng/" TargetMode="External"/><Relationship Id="rId3" Type="http://schemas.openxmlformats.org/officeDocument/2006/relationships/hyperlink" Target="https://es.aliexpress.com/item/1005004974031892.html" TargetMode="External"/><Relationship Id="rId4" Type="http://schemas.openxmlformats.org/officeDocument/2006/relationships/hyperlink" Target="https://es.aliexpress.com/item/1005004974031892.html" TargetMode="External"/><Relationship Id="rId5" Type="http://schemas.openxmlformats.org/officeDocument/2006/relationships/hyperlink" Target="https://www.mechatronicstore.cl/20-piezas-tornillo-m3-con-tuerca/" TargetMode="External"/><Relationship Id="rId6" Type="http://schemas.openxmlformats.org/officeDocument/2006/relationships/hyperlink" Target="https://cl.rsdelivers.com/product/stmicroelectronics/nucleo-f767zi/placa-de-desarrollo-stm32-nucleo-144-de-mcu-con-m7/1231052" TargetMode="External"/><Relationship Id="rId7" Type="http://schemas.openxmlformats.org/officeDocument/2006/relationships/hyperlink" Target="https://www.mechatronicstore.cl/placa-punto-a-punto-pcb-doble-cara-faz-30x70mm/" TargetMode="External"/><Relationship Id="rId8" Type="http://schemas.openxmlformats.org/officeDocument/2006/relationships/hyperlink" Target="https://www.mechatronicstore.cl/placa-de-cobre-pcb-10x15cm-virgen/" TargetMode="External"/><Relationship Id="rId9" Type="http://schemas.openxmlformats.org/officeDocument/2006/relationships/hyperlink" Target="https://www.mechatronicstore.cl/sensor-de-fuerza-resistivo/" TargetMode="External"/><Relationship Id="rId10" Type="http://schemas.openxmlformats.org/officeDocument/2006/relationships/hyperlink" Target="https://www.mechatronicstore.cl/filamento-pla-sunlu-mate-1kg-1-75mm-colores/" TargetMode="External"/><Relationship Id="rId11" Type="http://schemas.openxmlformats.org/officeDocument/2006/relationships/hyperlink" Target="https://www.mechatronicstore.cl/fuente-de-poder-switching-5v-10a-dc/" TargetMode="External"/><Relationship Id="rId12" Type="http://schemas.openxmlformats.org/officeDocument/2006/relationships/hyperlink" Target="https://www.mechatronicstore.cl/fuente-de-alimentacion-pro-30v-5a-volture-accesorios/" TargetMode="External"/><Relationship Id="rId13" Type="http://schemas.openxmlformats.org/officeDocument/2006/relationships/hyperlink" Target="https://www.mechatronicstore.cl/cable-red-utp-cat5e-negro-uso-exterior/" TargetMode="External"/><Relationship Id="rId14" Type="http://schemas.openxmlformats.org/officeDocument/2006/relationships/hyperlink" Target="https://www.mechatronicstore.cl/cable-apantallado-5-hilos-24wg/" TargetMode="External"/><Relationship Id="rId15" Type="http://schemas.openxmlformats.org/officeDocument/2006/relationships/hyperlink" Target="https://www.mechatronicstore.cl/conector-terminal-2-pines-con-tornillo-kf301-2/" TargetMode="External"/><Relationship Id="rId16" Type="http://schemas.openxmlformats.org/officeDocument/2006/relationships/hyperlink" Target="https://www.mechatronicstore.cl/terminal-3-pines-conector-5mm-screw/" TargetMode="External"/><Relationship Id="rId17" Type="http://schemas.openxmlformats.org/officeDocument/2006/relationships/hyperlink" Target="https://www.mechatronicstore.cl/cables-macho-macho-para-arduino/" TargetMode="External"/><Relationship Id="rId18" Type="http://schemas.openxmlformats.org/officeDocument/2006/relationships/hyperlink" Target="https://www.mechatronicstore.cl/cable-macho-macho-40-piezas-20c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7" min="6" style="0" width="14"/>
    <col collapsed="false" customWidth="true" hidden="false" outlineLevel="0" max="8" min="8" style="0" width="70"/>
  </cols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30" hidden="false" customHeight="true" outlineLevel="0" collapsed="false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</row>
    <row r="5" customFormat="false" ht="15" hidden="false" customHeight="false" outlineLevel="0" collapsed="false">
      <c r="B5" s="4" t="s">
        <v>9</v>
      </c>
      <c r="C5" s="4" t="s">
        <v>10</v>
      </c>
      <c r="D5" s="5" t="n">
        <v>11</v>
      </c>
      <c r="E5" s="6" t="s">
        <v>11</v>
      </c>
      <c r="F5" s="7" t="n">
        <v>57011</v>
      </c>
      <c r="G5" s="8" t="s">
        <v>12</v>
      </c>
      <c r="H5" s="9" t="s">
        <v>13</v>
      </c>
    </row>
    <row r="6" customFormat="false" ht="15" hidden="false" customHeight="false" outlineLevel="0" collapsed="false">
      <c r="B6" s="4" t="s">
        <v>9</v>
      </c>
      <c r="C6" s="4" t="s">
        <v>14</v>
      </c>
      <c r="D6" s="5" t="n">
        <v>6</v>
      </c>
      <c r="E6" s="6" t="s">
        <v>11</v>
      </c>
      <c r="F6" s="7" t="n">
        <v>30000</v>
      </c>
      <c r="G6" s="8" t="s">
        <v>12</v>
      </c>
      <c r="H6" s="9" t="s">
        <v>15</v>
      </c>
    </row>
    <row r="7" customFormat="false" ht="15" hidden="false" customHeight="false" outlineLevel="0" collapsed="false">
      <c r="B7" s="4" t="s">
        <v>16</v>
      </c>
      <c r="C7" s="4" t="s">
        <v>17</v>
      </c>
      <c r="D7" s="5" t="n">
        <v>11</v>
      </c>
      <c r="E7" s="6" t="s">
        <v>11</v>
      </c>
      <c r="F7" s="7" t="n">
        <v>72194</v>
      </c>
      <c r="G7" s="8" t="s">
        <v>12</v>
      </c>
      <c r="H7" s="9" t="s">
        <v>18</v>
      </c>
    </row>
    <row r="8" customFormat="false" ht="15" hidden="false" customHeight="false" outlineLevel="0" collapsed="false">
      <c r="B8" s="4" t="s">
        <v>16</v>
      </c>
      <c r="C8" s="4" t="s">
        <v>19</v>
      </c>
      <c r="D8" s="5" t="n">
        <v>11</v>
      </c>
      <c r="E8" s="6" t="s">
        <v>11</v>
      </c>
      <c r="F8" s="7" t="n">
        <v>49018</v>
      </c>
      <c r="G8" s="8" t="s">
        <v>12</v>
      </c>
      <c r="H8" s="9" t="s">
        <v>18</v>
      </c>
    </row>
    <row r="9" customFormat="false" ht="15" hidden="false" customHeight="false" outlineLevel="0" collapsed="false">
      <c r="B9" s="4" t="s">
        <v>16</v>
      </c>
      <c r="C9" s="4" t="s">
        <v>20</v>
      </c>
      <c r="D9" s="5" t="n">
        <v>13</v>
      </c>
      <c r="E9" s="6" t="s">
        <v>11</v>
      </c>
      <c r="F9" s="7" t="n">
        <v>19370</v>
      </c>
      <c r="G9" s="8" t="s">
        <v>12</v>
      </c>
      <c r="H9" s="9" t="s">
        <v>21</v>
      </c>
    </row>
    <row r="10" customFormat="false" ht="15" hidden="false" customHeight="false" outlineLevel="0" collapsed="false">
      <c r="B10" s="4" t="s">
        <v>22</v>
      </c>
      <c r="C10" s="4" t="s">
        <v>23</v>
      </c>
      <c r="D10" s="5" t="n">
        <v>1</v>
      </c>
      <c r="E10" s="6" t="s">
        <v>11</v>
      </c>
      <c r="F10" s="7" t="n">
        <v>36679</v>
      </c>
      <c r="G10" s="8" t="s">
        <v>12</v>
      </c>
      <c r="H10" s="9" t="s">
        <v>24</v>
      </c>
    </row>
    <row r="11" customFormat="false" ht="15" hidden="false" customHeight="false" outlineLevel="0" collapsed="false">
      <c r="B11" s="4" t="s">
        <v>22</v>
      </c>
      <c r="C11" s="4" t="s">
        <v>25</v>
      </c>
      <c r="D11" s="5" t="n">
        <v>1</v>
      </c>
      <c r="E11" s="6" t="s">
        <v>11</v>
      </c>
      <c r="F11" s="7" t="n">
        <v>990</v>
      </c>
      <c r="G11" s="8" t="s">
        <v>12</v>
      </c>
      <c r="H11" s="9" t="s">
        <v>26</v>
      </c>
    </row>
    <row r="12" customFormat="false" ht="15" hidden="false" customHeight="false" outlineLevel="0" collapsed="false">
      <c r="B12" s="4" t="s">
        <v>22</v>
      </c>
      <c r="C12" s="4" t="s">
        <v>27</v>
      </c>
      <c r="D12" s="5" t="n">
        <v>1</v>
      </c>
      <c r="E12" s="6" t="s">
        <v>11</v>
      </c>
      <c r="F12" s="7" t="n">
        <v>2490</v>
      </c>
      <c r="G12" s="8" t="s">
        <v>28</v>
      </c>
      <c r="H12" s="9" t="s">
        <v>29</v>
      </c>
    </row>
    <row r="13" customFormat="false" ht="15" hidden="false" customHeight="false" outlineLevel="0" collapsed="false">
      <c r="B13" s="4" t="s">
        <v>30</v>
      </c>
      <c r="C13" s="4" t="s">
        <v>31</v>
      </c>
      <c r="D13" s="5" t="n">
        <v>5</v>
      </c>
      <c r="E13" s="6" t="s">
        <v>11</v>
      </c>
      <c r="F13" s="7" t="n">
        <v>20200</v>
      </c>
      <c r="G13" s="8" t="s">
        <v>12</v>
      </c>
      <c r="H13" s="9" t="s">
        <v>32</v>
      </c>
    </row>
    <row r="14" customFormat="false" ht="15" hidden="false" customHeight="false" outlineLevel="0" collapsed="false">
      <c r="B14" s="4" t="s">
        <v>33</v>
      </c>
      <c r="C14" s="4" t="s">
        <v>34</v>
      </c>
      <c r="D14" s="5" t="n">
        <v>2</v>
      </c>
      <c r="E14" s="6" t="s">
        <v>11</v>
      </c>
      <c r="F14" s="7" t="n">
        <v>30000</v>
      </c>
      <c r="G14" s="8" t="s">
        <v>12</v>
      </c>
      <c r="H14" s="9" t="s">
        <v>35</v>
      </c>
    </row>
    <row r="15" customFormat="false" ht="15" hidden="false" customHeight="false" outlineLevel="0" collapsed="false">
      <c r="B15" s="4" t="s">
        <v>36</v>
      </c>
      <c r="C15" s="4" t="s">
        <v>37</v>
      </c>
      <c r="D15" s="5" t="n">
        <v>1</v>
      </c>
      <c r="E15" s="6" t="s">
        <v>11</v>
      </c>
      <c r="F15" s="7" t="n">
        <v>11900</v>
      </c>
      <c r="G15" s="8" t="s">
        <v>28</v>
      </c>
      <c r="H15" s="9" t="s">
        <v>38</v>
      </c>
    </row>
    <row r="16" customFormat="false" ht="15" hidden="false" customHeight="false" outlineLevel="0" collapsed="false">
      <c r="B16" s="4" t="s">
        <v>36</v>
      </c>
      <c r="C16" s="4" t="s">
        <v>39</v>
      </c>
      <c r="D16" s="5" t="n">
        <v>1</v>
      </c>
      <c r="E16" s="6" t="s">
        <v>11</v>
      </c>
      <c r="F16" s="7" t="n">
        <v>77990</v>
      </c>
      <c r="G16" s="8" t="s">
        <v>28</v>
      </c>
      <c r="H16" s="9" t="s">
        <v>40</v>
      </c>
    </row>
    <row r="17" customFormat="false" ht="15" hidden="false" customHeight="false" outlineLevel="0" collapsed="false">
      <c r="B17" s="4" t="s">
        <v>41</v>
      </c>
      <c r="C17" s="4" t="s">
        <v>42</v>
      </c>
      <c r="D17" s="5" t="n">
        <v>9</v>
      </c>
      <c r="E17" s="6" t="s">
        <v>43</v>
      </c>
      <c r="F17" s="7" t="n">
        <v>4500</v>
      </c>
      <c r="G17" s="8" t="s">
        <v>12</v>
      </c>
      <c r="H17" s="9" t="s">
        <v>44</v>
      </c>
    </row>
    <row r="18" customFormat="false" ht="15" hidden="false" customHeight="false" outlineLevel="0" collapsed="false">
      <c r="B18" s="4" t="s">
        <v>41</v>
      </c>
      <c r="C18" s="4" t="s">
        <v>45</v>
      </c>
      <c r="D18" s="5" t="n">
        <v>2</v>
      </c>
      <c r="E18" s="6" t="s">
        <v>43</v>
      </c>
      <c r="F18" s="7" t="n">
        <v>3600</v>
      </c>
      <c r="G18" s="8" t="s">
        <v>12</v>
      </c>
      <c r="H18" s="9" t="s">
        <v>46</v>
      </c>
    </row>
    <row r="19" customFormat="false" ht="15" hidden="false" customHeight="false" outlineLevel="0" collapsed="false">
      <c r="B19" s="4" t="s">
        <v>41</v>
      </c>
      <c r="C19" s="4" t="s">
        <v>47</v>
      </c>
      <c r="D19" s="5" t="n">
        <v>18</v>
      </c>
      <c r="E19" s="6" t="s">
        <v>11</v>
      </c>
      <c r="F19" s="7" t="n">
        <v>5220</v>
      </c>
      <c r="G19" s="8" t="s">
        <v>12</v>
      </c>
      <c r="H19" s="9" t="s">
        <v>48</v>
      </c>
    </row>
    <row r="20" customFormat="false" ht="15" hidden="false" customHeight="false" outlineLevel="0" collapsed="false">
      <c r="B20" s="4" t="s">
        <v>41</v>
      </c>
      <c r="C20" s="4" t="s">
        <v>49</v>
      </c>
      <c r="D20" s="5" t="n">
        <v>12</v>
      </c>
      <c r="E20" s="6" t="s">
        <v>11</v>
      </c>
      <c r="F20" s="7" t="n">
        <v>4680</v>
      </c>
      <c r="G20" s="8" t="s">
        <v>12</v>
      </c>
      <c r="H20" s="9" t="s">
        <v>50</v>
      </c>
    </row>
    <row r="21" customFormat="false" ht="15" hidden="false" customHeight="false" outlineLevel="0" collapsed="false">
      <c r="B21" s="4" t="s">
        <v>41</v>
      </c>
      <c r="C21" s="4" t="s">
        <v>51</v>
      </c>
      <c r="D21" s="5" t="n">
        <v>80</v>
      </c>
      <c r="E21" s="6" t="s">
        <v>11</v>
      </c>
      <c r="F21" s="7" t="n">
        <v>5980</v>
      </c>
      <c r="G21" s="8" t="s">
        <v>12</v>
      </c>
      <c r="H21" s="9" t="s">
        <v>52</v>
      </c>
    </row>
    <row r="22" customFormat="false" ht="15" hidden="false" customHeight="false" outlineLevel="0" collapsed="false">
      <c r="B22" s="4" t="s">
        <v>41</v>
      </c>
      <c r="C22" s="4" t="s">
        <v>53</v>
      </c>
      <c r="D22" s="5" t="n">
        <v>40</v>
      </c>
      <c r="E22" s="6" t="s">
        <v>11</v>
      </c>
      <c r="F22" s="7" t="n">
        <v>1990</v>
      </c>
      <c r="G22" s="8" t="s">
        <v>12</v>
      </c>
      <c r="H22" s="9" t="s">
        <v>54</v>
      </c>
    </row>
    <row r="23" customFormat="false" ht="15" hidden="false" customHeight="false" outlineLevel="0" collapsed="false">
      <c r="C23" s="10" t="s">
        <v>55</v>
      </c>
      <c r="F23" s="11" t="n">
        <f aca="false">SUM(F5:F22)</f>
        <v>433812</v>
      </c>
    </row>
    <row r="25" customFormat="false" ht="23.85" hidden="false" customHeight="false" outlineLevel="0" collapsed="false">
      <c r="C25" s="4" t="s">
        <v>56</v>
      </c>
      <c r="F25" s="12" t="n">
        <f aca="false">SUMIF(G5:G22,"Yes",F5:F22)</f>
        <v>92380</v>
      </c>
    </row>
    <row r="26" customFormat="false" ht="15" hidden="false" customHeight="false" outlineLevel="0" collapsed="false">
      <c r="C26" s="4" t="s">
        <v>57</v>
      </c>
      <c r="F26" s="12" t="n">
        <f aca="false">F23-F25</f>
        <v>341432</v>
      </c>
    </row>
    <row r="27" customFormat="false" ht="15" hidden="false" customHeight="false" outlineLevel="0" collapsed="false">
      <c r="C27" s="4" t="s">
        <v>58</v>
      </c>
      <c r="F27" s="7" t="n">
        <v>900</v>
      </c>
    </row>
    <row r="28" customFormat="false" ht="15" hidden="false" customHeight="false" outlineLevel="0" collapsed="false">
      <c r="C28" s="10" t="s">
        <v>59</v>
      </c>
      <c r="F28" s="11" t="n">
        <f aca="false">F23+F27</f>
        <v>434712</v>
      </c>
    </row>
    <row r="29" customFormat="false" ht="15" hidden="false" customHeight="false" outlineLevel="0" collapsed="false">
      <c r="C29" s="4" t="s">
        <v>60</v>
      </c>
      <c r="F29" s="7" t="n">
        <v>965</v>
      </c>
    </row>
    <row r="30" customFormat="false" ht="15" hidden="false" customHeight="false" outlineLevel="0" collapsed="false">
      <c r="C30" s="10" t="s">
        <v>61</v>
      </c>
      <c r="F30" s="11" t="n">
        <f aca="false">F28/F29</f>
        <v>450.478756476684</v>
      </c>
    </row>
    <row r="32" customFormat="false" ht="15" hidden="false" customHeight="false" outlineLevel="0" collapsed="false">
      <c r="B32" s="13" t="s">
        <v>62</v>
      </c>
    </row>
    <row r="33" customFormat="false" ht="15" hidden="false" customHeight="false" outlineLevel="0" collapsed="false">
      <c r="B33" s="2" t="s">
        <v>63</v>
      </c>
    </row>
    <row r="34" customFormat="false" ht="15" hidden="false" customHeight="false" outlineLevel="0" collapsed="false">
      <c r="B34" s="2" t="s">
        <v>64</v>
      </c>
    </row>
    <row r="35" customFormat="false" ht="15" hidden="false" customHeight="false" outlineLevel="0" collapsed="false">
      <c r="B35" s="2" t="s">
        <v>65</v>
      </c>
    </row>
  </sheetData>
  <hyperlinks>
    <hyperlink ref="H5" r:id="rId1" display="https://es.aliexpress.com/item/1005006213216702.html"/>
    <hyperlink ref="H6" r:id="rId2" display="https://www.mechatronicstore.cl/controlador-driver-motor-tb6612fng/"/>
    <hyperlink ref="H7" r:id="rId3" display="https://es.aliexpress.com/item/1005004974031892.html"/>
    <hyperlink ref="H8" r:id="rId4" display="https://es.aliexpress.com/item/1005004974031892.html"/>
    <hyperlink ref="H9" r:id="rId5" display="https://www.mechatronicstore.cl/20-piezas-tornillo-m3-con-tuerca/"/>
    <hyperlink ref="H10" r:id="rId6" display="https://cl.rsdelivers.com/product/stmicroelectronics/nucleo-f767zi/placa-de-desarrollo-stm32-nucleo-144-de-mcu-con-m7/1231052"/>
    <hyperlink ref="H11" r:id="rId7" display="https://www.mechatronicstore.cl/placa-punto-a-punto-pcb-doble-cara-faz-30x70mm/"/>
    <hyperlink ref="H12" r:id="rId8" display="https://www.mechatronicstore.cl/placa-de-cobre-pcb-10x15cm-virgen/"/>
    <hyperlink ref="H13" r:id="rId9" display="https://www.mechatronicstore.cl/sensor-de-fuerza-resistivo/"/>
    <hyperlink ref="H14" r:id="rId10" display="https://www.mechatronicstore.cl/filamento-pla-sunlu-mate-1kg-1-75mm-colores/"/>
    <hyperlink ref="H15" r:id="rId11" display="https://www.mechatronicstore.cl/fuente-de-poder-switching-5v-10a-dc/"/>
    <hyperlink ref="H16" r:id="rId12" display="https://www.mechatronicstore.cl/fuente-de-alimentacion-pro-30v-5a-volture-accesorios/"/>
    <hyperlink ref="H17" r:id="rId13" display="https://www.mechatronicstore.cl/cable-red-utp-cat5e-negro-uso-exterior/"/>
    <hyperlink ref="H18" r:id="rId14" display="https://www.mechatronicstore.cl/cable-apantallado-5-hilos-24wg/"/>
    <hyperlink ref="H19" r:id="rId15" display="https://www.mechatronicstore.cl/conector-terminal-2-pines-con-tornillo-kf301-2/"/>
    <hyperlink ref="H20" r:id="rId16" display="https://www.mechatronicstore.cl/terminal-3-pines-conector-5mm-screw/"/>
    <hyperlink ref="H21" r:id="rId17" display="https://www.mechatronicstore.cl/cables-macho-macho-para-arduino/"/>
    <hyperlink ref="H22" r:id="rId18" display="https://www.mechatronicstore.cl/cable-macho-macho-40-piezas-20cm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2026-10-23T01:43:32Z</dcterms:created>
  <dc:creator>openpyxl</dc:creator>
  <dc:description/>
  <dc:language>en-US</dc:language>
  <cp:lastModifiedBy/>
  <dcterms:modified xsi:type="dcterms:W3CDTF">2026-10-23T01:43:32Z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