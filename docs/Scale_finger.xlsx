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5740ffd8a34622/Escritorio/preprosthetic-robotic-hand/documentation/"/>
    </mc:Choice>
  </mc:AlternateContent>
  <xr:revisionPtr revIDLastSave="85" documentId="13_ncr:1_{B9F9B2CB-F906-43D6-828D-9107F5FF26C9}" xr6:coauthVersionLast="47" xr6:coauthVersionMax="47" xr10:uidLastSave="{3783ADE3-2782-4DB4-8260-23883AC8445E}"/>
  <bookViews>
    <workbookView xWindow="-120" yWindow="-120" windowWidth="20730" windowHeight="11040" xr2:uid="{32B88796-8AE0-4BC0-A465-4A5EC892A0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J3" i="1"/>
  <c r="I3" i="1"/>
  <c r="I2" i="1"/>
  <c r="C4" i="1"/>
  <c r="B3" i="1"/>
  <c r="B5" i="1"/>
  <c r="C3" i="1"/>
  <c r="F11" i="1"/>
  <c r="F14" i="1"/>
  <c r="C11" i="1"/>
  <c r="E11" i="1"/>
  <c r="D14" i="1"/>
  <c r="D11" i="1"/>
  <c r="E14" i="1"/>
  <c r="C14" i="1"/>
  <c r="B4" i="1"/>
  <c r="E13" i="1"/>
  <c r="F13" i="1"/>
  <c r="E15" i="1"/>
  <c r="F15" i="1"/>
  <c r="E16" i="1"/>
  <c r="F16" i="1"/>
  <c r="D13" i="1"/>
  <c r="D15" i="1"/>
  <c r="D16" i="1"/>
  <c r="C16" i="1"/>
  <c r="C15" i="1"/>
  <c r="C13" i="1"/>
  <c r="J4" i="1"/>
  <c r="I4" i="1"/>
  <c r="F4" i="1"/>
  <c r="F3" i="1"/>
  <c r="E5" i="1"/>
  <c r="E4" i="1"/>
  <c r="E3" i="1"/>
  <c r="D5" i="1"/>
  <c r="D4" i="1"/>
  <c r="D3" i="1"/>
  <c r="D6" i="1" s="1"/>
  <c r="C5" i="1"/>
  <c r="C6" i="1"/>
  <c r="E6" i="1" l="1"/>
  <c r="B6" i="1"/>
  <c r="F6" i="1"/>
</calcChain>
</file>

<file path=xl/sharedStrings.xml><?xml version="1.0" encoding="utf-8"?>
<sst xmlns="http://schemas.openxmlformats.org/spreadsheetml/2006/main" count="24" uniqueCount="22">
  <si>
    <t>Anular</t>
  </si>
  <si>
    <t>Pulgar</t>
  </si>
  <si>
    <t>Medio</t>
  </si>
  <si>
    <t>Diag</t>
  </si>
  <si>
    <t>Tierra</t>
  </si>
  <si>
    <t>Prox</t>
  </si>
  <si>
    <t>Distal</t>
  </si>
  <si>
    <t>Meñique</t>
  </si>
  <si>
    <t>Índice</t>
  </si>
  <si>
    <t>Scale</t>
  </si>
  <si>
    <t xml:space="preserve">Little </t>
  </si>
  <si>
    <t>Ring</t>
  </si>
  <si>
    <t>Middle</t>
  </si>
  <si>
    <t>Thumb</t>
  </si>
  <si>
    <t>Index</t>
  </si>
  <si>
    <t>Four-bar mechanism</t>
  </si>
  <si>
    <t>Distal phalanx (mm)</t>
  </si>
  <si>
    <t>Middle phalanx (mm)</t>
  </si>
  <si>
    <t>Proximal phalanx (mm)</t>
  </si>
  <si>
    <t>Finger length</t>
  </si>
  <si>
    <t>Palm width</t>
  </si>
  <si>
    <t>Palm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</si>
</sst>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" xfId="0" applyFill="1" applyBorder="1"/>
    <xf numFmtId="0" fontId="0" fillId="3" borderId="7" xfId="0" applyFill="1" applyBorder="1"/>
    <xf numFmtId="0" fontId="0" fillId="3" borderId="2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E5AD56E-1A32-4D7D-9A87-9EFA76F4A2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2124-1733-497C-B278-822447B8B6A0}">
  <dimension ref="A2:J18"/>
  <sheetViews>
    <sheetView tabSelected="1" zoomScale="86" workbookViewId="0">
      <selection activeCell="G10" sqref="G10"/>
    </sheetView>
  </sheetViews>
  <sheetFormatPr defaultColWidth="11.42578125" defaultRowHeight="15" x14ac:dyDescent="0.25"/>
  <cols>
    <col min="1" max="1" width="21.85546875" bestFit="1" customWidth="1"/>
    <col min="2" max="2" width="13.85546875" bestFit="1" customWidth="1"/>
    <col min="3" max="3" width="12.140625" bestFit="1" customWidth="1"/>
    <col min="4" max="5" width="11.7109375" bestFit="1" customWidth="1"/>
    <col min="8" max="8" width="15.28515625" bestFit="1" customWidth="1"/>
    <col min="9" max="9" width="12.140625" bestFit="1" customWidth="1"/>
    <col min="10" max="10" width="12.7109375" customWidth="1"/>
  </cols>
  <sheetData>
    <row r="2" spans="1:10" x14ac:dyDescent="0.25">
      <c r="A2" s="12"/>
      <c r="B2" s="13" t="s">
        <v>10</v>
      </c>
      <c r="C2" s="13" t="s">
        <v>11</v>
      </c>
      <c r="D2" s="13" t="s">
        <v>12</v>
      </c>
      <c r="E2" s="13" t="s">
        <v>14</v>
      </c>
      <c r="F2" s="13" t="s">
        <v>13</v>
      </c>
      <c r="H2" s="13" t="s">
        <v>9</v>
      </c>
      <c r="I2" s="1">
        <f>B7</f>
        <v>1.23</v>
      </c>
      <c r="J2" s="15">
        <v>1.33</v>
      </c>
    </row>
    <row r="3" spans="1:10" x14ac:dyDescent="0.25">
      <c r="A3" s="13" t="s">
        <v>18</v>
      </c>
      <c r="B3" s="1">
        <f>37*B7</f>
        <v>45.51</v>
      </c>
      <c r="C3" s="1">
        <f>45*B7</f>
        <v>55.35</v>
      </c>
      <c r="D3" s="1">
        <f>56*B7</f>
        <v>68.88</v>
      </c>
      <c r="E3" s="1">
        <f>50*B7</f>
        <v>61.5</v>
      </c>
      <c r="F3" s="1">
        <f>42*B7</f>
        <v>51.66</v>
      </c>
      <c r="H3" s="13" t="s">
        <v>20</v>
      </c>
      <c r="I3" s="1">
        <f>92*B7</f>
        <v>113.16</v>
      </c>
      <c r="J3" s="15">
        <f>92*J2</f>
        <v>122.36000000000001</v>
      </c>
    </row>
    <row r="4" spans="1:10" x14ac:dyDescent="0.25">
      <c r="A4" s="13" t="s">
        <v>17</v>
      </c>
      <c r="B4" s="1">
        <f>27*B7</f>
        <v>33.21</v>
      </c>
      <c r="C4" s="1">
        <f>31*B7</f>
        <v>38.130000000000003</v>
      </c>
      <c r="D4" s="1">
        <f>37*B7</f>
        <v>45.51</v>
      </c>
      <c r="E4" s="1">
        <f>31*B7</f>
        <v>38.130000000000003</v>
      </c>
      <c r="F4" s="1">
        <f>34*B7</f>
        <v>41.82</v>
      </c>
      <c r="H4" s="13" t="s">
        <v>21</v>
      </c>
      <c r="I4" s="1">
        <f>105*B7</f>
        <v>129.15</v>
      </c>
      <c r="J4" s="15">
        <f>105*J2</f>
        <v>139.65</v>
      </c>
    </row>
    <row r="5" spans="1:10" x14ac:dyDescent="0.25">
      <c r="A5" s="13" t="s">
        <v>16</v>
      </c>
      <c r="B5" s="1">
        <f>20*B7</f>
        <v>24.6</v>
      </c>
      <c r="C5" s="1">
        <f>23*B7</f>
        <v>28.29</v>
      </c>
      <c r="D5" s="1">
        <f>26*B7</f>
        <v>31.98</v>
      </c>
      <c r="E5" s="1">
        <f>25*B7</f>
        <v>30.75</v>
      </c>
      <c r="F5" s="1"/>
    </row>
    <row r="6" spans="1:10" x14ac:dyDescent="0.25">
      <c r="A6" s="13" t="s">
        <v>19</v>
      </c>
      <c r="B6" s="1">
        <f>SUM(B3:B5)</f>
        <v>103.32</v>
      </c>
      <c r="C6" s="1">
        <f t="shared" ref="C6:F6" si="0">SUM(C3:C5)</f>
        <v>121.77000000000001</v>
      </c>
      <c r="D6" s="1">
        <f t="shared" si="0"/>
        <v>146.36999999999998</v>
      </c>
      <c r="E6" s="1">
        <f t="shared" si="0"/>
        <v>130.38</v>
      </c>
      <c r="F6" s="1">
        <f t="shared" si="0"/>
        <v>93.47999999999999</v>
      </c>
    </row>
    <row r="7" spans="1:10" x14ac:dyDescent="0.25">
      <c r="A7" s="14" t="s">
        <v>9</v>
      </c>
      <c r="B7" s="2">
        <v>1.23</v>
      </c>
    </row>
    <row r="11" spans="1:10" x14ac:dyDescent="0.25">
      <c r="B11">
        <f>27+9</f>
        <v>36</v>
      </c>
      <c r="C11">
        <f>C14+9</f>
        <v>38.160000000000004</v>
      </c>
      <c r="D11">
        <f>D14+9</f>
        <v>45.45</v>
      </c>
      <c r="E11">
        <f>E14+9</f>
        <v>38.160000000000004</v>
      </c>
      <c r="F11">
        <f>F14+9</f>
        <v>41.67</v>
      </c>
    </row>
    <row r="12" spans="1:10" x14ac:dyDescent="0.25">
      <c r="A12" s="13" t="s">
        <v>15</v>
      </c>
      <c r="B12" s="1" t="s">
        <v>7</v>
      </c>
      <c r="C12" s="1" t="s">
        <v>0</v>
      </c>
      <c r="D12" s="1" t="s">
        <v>2</v>
      </c>
      <c r="E12" s="1" t="s">
        <v>8</v>
      </c>
      <c r="F12" s="1" t="s">
        <v>1</v>
      </c>
      <c r="H12" s="6"/>
      <c r="I12" s="7"/>
    </row>
    <row r="13" spans="1:10" x14ac:dyDescent="0.25">
      <c r="A13" s="13" t="s">
        <v>3</v>
      </c>
      <c r="B13" s="1">
        <v>27.5</v>
      </c>
      <c r="C13" s="1">
        <f>27.5*C18</f>
        <v>29.700000000000003</v>
      </c>
      <c r="D13" s="1">
        <f>27.5*D18</f>
        <v>37.125</v>
      </c>
      <c r="E13" s="1">
        <f t="shared" ref="E13:F13" si="1">27.5*E18</f>
        <v>29.700000000000003</v>
      </c>
      <c r="F13" s="1">
        <f t="shared" si="1"/>
        <v>33.274999999999999</v>
      </c>
      <c r="H13" s="8"/>
      <c r="I13" s="9"/>
    </row>
    <row r="14" spans="1:10" x14ac:dyDescent="0.25">
      <c r="A14" s="13" t="s">
        <v>4</v>
      </c>
      <c r="B14" s="3">
        <v>27</v>
      </c>
      <c r="C14" s="3">
        <f>27*C18</f>
        <v>29.160000000000004</v>
      </c>
      <c r="D14" s="3">
        <f>27*D18</f>
        <v>36.450000000000003</v>
      </c>
      <c r="E14" s="3">
        <f>27*E18</f>
        <v>29.160000000000004</v>
      </c>
      <c r="F14" s="3">
        <f>27*F18</f>
        <v>32.67</v>
      </c>
      <c r="H14" s="4"/>
      <c r="I14" s="5"/>
    </row>
    <row r="15" spans="1:10" x14ac:dyDescent="0.25">
      <c r="A15" s="13" t="s">
        <v>5</v>
      </c>
      <c r="B15" s="1">
        <v>8</v>
      </c>
      <c r="C15" s="1">
        <f>8*C18</f>
        <v>8.64</v>
      </c>
      <c r="D15" s="1">
        <f>8*D18</f>
        <v>10.8</v>
      </c>
      <c r="E15" s="1">
        <f t="shared" ref="E15:F15" si="2">8*E18</f>
        <v>8.64</v>
      </c>
      <c r="F15" s="1">
        <f t="shared" si="2"/>
        <v>9.68</v>
      </c>
      <c r="H15" s="11"/>
      <c r="I15" s="5"/>
    </row>
    <row r="16" spans="1:10" x14ac:dyDescent="0.25">
      <c r="A16" s="13" t="s">
        <v>6</v>
      </c>
      <c r="B16" s="1">
        <v>7</v>
      </c>
      <c r="C16" s="1">
        <f>7*C18</f>
        <v>7.5600000000000005</v>
      </c>
      <c r="D16" s="1">
        <f>7*D18</f>
        <v>9.4500000000000011</v>
      </c>
      <c r="E16" s="1">
        <f t="shared" ref="E16:F16" si="3">7*E18</f>
        <v>7.5600000000000005</v>
      </c>
      <c r="F16" s="1">
        <f t="shared" si="3"/>
        <v>8.4699999999999989</v>
      </c>
      <c r="H16" s="4"/>
      <c r="I16" s="10"/>
    </row>
    <row r="18" spans="2:6" x14ac:dyDescent="0.25">
      <c r="B18" s="12" t="s">
        <v>9</v>
      </c>
      <c r="C18" s="1">
        <v>1.08</v>
      </c>
      <c r="D18" s="1">
        <v>1.35</v>
      </c>
      <c r="E18" s="1">
        <v>1.08</v>
      </c>
      <c r="F18" s="1">
        <v>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 Muñoz Sepulveda</dc:creator>
  <cp:lastModifiedBy>Luis Felipe Muñoz Sepulveda</cp:lastModifiedBy>
  <dcterms:created xsi:type="dcterms:W3CDTF">2025-10-23T20:03:47Z</dcterms:created>
  <dcterms:modified xsi:type="dcterms:W3CDTF">2026-10-21T18:37:05Z</dcterms:modified>
</cp:coreProperties>
</file>